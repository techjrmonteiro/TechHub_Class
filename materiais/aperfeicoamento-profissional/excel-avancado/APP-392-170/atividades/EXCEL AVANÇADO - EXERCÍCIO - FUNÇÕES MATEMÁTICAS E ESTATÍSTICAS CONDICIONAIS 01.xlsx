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6EAB796B-705D-472D-99B6-71DB48462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 1 - SOMASE Vendas" sheetId="1" r:id="rId1"/>
    <sheet name="Ex 2 - SOMASE Estoque" sheetId="2" r:id="rId2"/>
    <sheet name="Ex 3 - SOMASES E-Commerce" sheetId="3" r:id="rId3"/>
    <sheet name="Ex 4 - SOMASES RH Salários" sheetId="4" r:id="rId4"/>
    <sheet name="Ex 5 - CONT.SE Suporte TI" sheetId="5" r:id="rId5"/>
    <sheet name="Ex 6 - CONT.SE Qualidade" sheetId="6" r:id="rId6"/>
    <sheet name="Ex 7 - CONT.SES Marketing" sheetId="7" r:id="rId7"/>
    <sheet name="Ex 8 - CONT.SES Frota Logístic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8" l="1"/>
  <c r="H9" i="7"/>
  <c r="H8" i="6"/>
  <c r="H9" i="5"/>
  <c r="H9" i="4"/>
  <c r="H9" i="3"/>
  <c r="F15" i="2"/>
  <c r="F14" i="2"/>
  <c r="F13" i="2"/>
  <c r="F12" i="2"/>
  <c r="F11" i="2"/>
  <c r="F10" i="2"/>
  <c r="F9" i="2"/>
  <c r="F8" i="2"/>
  <c r="F7" i="2"/>
  <c r="I9" i="2"/>
  <c r="F6" i="2"/>
  <c r="H9" i="1"/>
</calcChain>
</file>

<file path=xl/sharedStrings.xml><?xml version="1.0" encoding="utf-8"?>
<sst xmlns="http://schemas.openxmlformats.org/spreadsheetml/2006/main" count="420" uniqueCount="264">
  <si>
    <t>Exercício 1: Função SOMASE — Total de Vendas por Região</t>
  </si>
  <si>
    <t>Utilize a função =SOMASE(intervalo; critério; [intervalo_soma]) nas células amarelas para calcular o faturamento por região.</t>
  </si>
  <si>
    <t>DADOS DE VENDAS</t>
  </si>
  <si>
    <t>RESUMO (EXERCÍCIO)</t>
  </si>
  <si>
    <t>ID Venda</t>
  </si>
  <si>
    <t>Vendedor</t>
  </si>
  <si>
    <t>Região</t>
  </si>
  <si>
    <t>Categoria</t>
  </si>
  <si>
    <t>Valor Venda</t>
  </si>
  <si>
    <t>Total Faturado</t>
  </si>
  <si>
    <t>Ana Silva</t>
  </si>
  <si>
    <t>SP</t>
  </si>
  <si>
    <t>Eletrônicos</t>
  </si>
  <si>
    <t>Bruno Costa</t>
  </si>
  <si>
    <t>RJ</t>
  </si>
  <si>
    <t>Móveis</t>
  </si>
  <si>
    <t>Carla Souza</t>
  </si>
  <si>
    <t>MG</t>
  </si>
  <si>
    <t>Diego Lima</t>
  </si>
  <si>
    <t>TOTAL</t>
  </si>
  <si>
    <t>Elena Dias</t>
  </si>
  <si>
    <t>Informática</t>
  </si>
  <si>
    <t>Fábio Mello</t>
  </si>
  <si>
    <t>Gisele Ramos</t>
  </si>
  <si>
    <t>Hugo Rocha</t>
  </si>
  <si>
    <t>Isabela Luz</t>
  </si>
  <si>
    <t>João Pedro</t>
  </si>
  <si>
    <t>Exercício 2: Função SOMASE — Valor em Estoque por Categoria</t>
  </si>
  <si>
    <t>Calcule o Custo Total em Estoque para cada categoria de alimento utilizando a função =SOMASE().</t>
  </si>
  <si>
    <t>INVENTÁRIO DE ESTOQUE</t>
  </si>
  <si>
    <t>RESUMO POR CATEGORIA</t>
  </si>
  <si>
    <t>Cód Item</t>
  </si>
  <si>
    <t>Produto</t>
  </si>
  <si>
    <t>Qtd Estoque</t>
  </si>
  <si>
    <t>Custo Unitário</t>
  </si>
  <si>
    <t>Valor Total</t>
  </si>
  <si>
    <t>Valor em Estoque</t>
  </si>
  <si>
    <t>AL-101</t>
  </si>
  <si>
    <t>Arroz Integral 5kg</t>
  </si>
  <si>
    <t>Grãos</t>
  </si>
  <si>
    <t>AL-102</t>
  </si>
  <si>
    <t>Feijão Preto 1kg</t>
  </si>
  <si>
    <t>Laticínios</t>
  </si>
  <si>
    <t>AL-103</t>
  </si>
  <si>
    <t>Leite Integral 1L</t>
  </si>
  <si>
    <t>Bebidas</t>
  </si>
  <si>
    <t>AL-104</t>
  </si>
  <si>
    <t>Queijo Mussarela kg</t>
  </si>
  <si>
    <t>TOTAL GERAL</t>
  </si>
  <si>
    <t>AL-105</t>
  </si>
  <si>
    <t>Suco de Laranja 1L</t>
  </si>
  <si>
    <t>AL-106</t>
  </si>
  <si>
    <t>Café Torrado 500g</t>
  </si>
  <si>
    <t>AL-107</t>
  </si>
  <si>
    <t>Lentilha 500g</t>
  </si>
  <si>
    <t>AL-108</t>
  </si>
  <si>
    <t>Iogurte Natural</t>
  </si>
  <si>
    <t>AL-109</t>
  </si>
  <si>
    <t>Chá Verde 250g</t>
  </si>
  <si>
    <t>AL-110</t>
  </si>
  <si>
    <t>Grão de Bico 500g</t>
  </si>
  <si>
    <t>Exercício 3: Função SOMASES — Vendas Concluídas por Canal</t>
  </si>
  <si>
    <t>Utilize =SOMASES(intervalo_soma; int_crit1; crit1; int_crit2; crit2) para somar as vendas do canal com Status 'Concluído'.</t>
  </si>
  <si>
    <t>PEDIDOS E-COMMERCE</t>
  </si>
  <si>
    <t>VENDAS CONCLUÍDAS POR CANAL</t>
  </si>
  <si>
    <t>Nº Pedido</t>
  </si>
  <si>
    <t>Cliente</t>
  </si>
  <si>
    <t>Canal Venda</t>
  </si>
  <si>
    <t>Status Pedido</t>
  </si>
  <si>
    <t>Valor Pedido</t>
  </si>
  <si>
    <t>Canal</t>
  </si>
  <si>
    <t>Total Concluído</t>
  </si>
  <si>
    <t>PED-501</t>
  </si>
  <si>
    <t>Amanda Melo</t>
  </si>
  <si>
    <t>Site</t>
  </si>
  <si>
    <t>Concluído</t>
  </si>
  <si>
    <t>PED-502</t>
  </si>
  <si>
    <t>Breno Lopes</t>
  </si>
  <si>
    <t>App</t>
  </si>
  <si>
    <t>PED-503</t>
  </si>
  <si>
    <t>Camila Paiva</t>
  </si>
  <si>
    <t>Marketplace</t>
  </si>
  <si>
    <t>Cancelado</t>
  </si>
  <si>
    <t>PED-504</t>
  </si>
  <si>
    <t>Daniel Faria</t>
  </si>
  <si>
    <t>PED-505</t>
  </si>
  <si>
    <t>Eduardo Vaz</t>
  </si>
  <si>
    <t>Em Trânsito</t>
  </si>
  <si>
    <t>PED-506</t>
  </si>
  <si>
    <t>Fernanda Gil</t>
  </si>
  <si>
    <t>PED-507</t>
  </si>
  <si>
    <t>Gustavo Neves</t>
  </si>
  <si>
    <t>PED-508</t>
  </si>
  <si>
    <t>Helena Maia</t>
  </si>
  <si>
    <t>PED-509</t>
  </si>
  <si>
    <t>Igor Siqueira</t>
  </si>
  <si>
    <t>PED-510</t>
  </si>
  <si>
    <t>Júlia Prado</t>
  </si>
  <si>
    <t>Exercício 4: Função SOMASES — Folha Salarial por Departamento e Nível</t>
  </si>
  <si>
    <t>Calcule o total salarial dos colaboradores de nível 'Sênior' por Departamento usando a função =SOMASES().</t>
  </si>
  <si>
    <t>QUADRO DE COLABORADORES</t>
  </si>
  <si>
    <t>FOLHA SALARIAL (NÍVEL SÊNIOR)</t>
  </si>
  <si>
    <t>Matrícula</t>
  </si>
  <si>
    <t>Colaborador</t>
  </si>
  <si>
    <t>Departamento</t>
  </si>
  <si>
    <t>Nível</t>
  </si>
  <si>
    <t>Salário Base</t>
  </si>
  <si>
    <t>Total Salários (Sênior)</t>
  </si>
  <si>
    <t>RH-01</t>
  </si>
  <si>
    <t>Aline Borges</t>
  </si>
  <si>
    <t>TI</t>
  </si>
  <si>
    <t>Sênior</t>
  </si>
  <si>
    <t>RH-02</t>
  </si>
  <si>
    <t>Bernardo Cruz</t>
  </si>
  <si>
    <t>Vendas</t>
  </si>
  <si>
    <t>Pleno</t>
  </si>
  <si>
    <t>RH-03</t>
  </si>
  <si>
    <t>Caio Martins</t>
  </si>
  <si>
    <t>Finanças</t>
  </si>
  <si>
    <t>RH-04</t>
  </si>
  <si>
    <t>Débora Souza</t>
  </si>
  <si>
    <t>TOTAL SÊNIOR</t>
  </si>
  <si>
    <t>RH-05</t>
  </si>
  <si>
    <t>Enzo Ferreira</t>
  </si>
  <si>
    <t>RH-06</t>
  </si>
  <si>
    <t>Fabiana Lima</t>
  </si>
  <si>
    <t>Júnior</t>
  </si>
  <si>
    <t>RH-07</t>
  </si>
  <si>
    <t>Gisela Duarte</t>
  </si>
  <si>
    <t>RH-08</t>
  </si>
  <si>
    <t>Heitor Alves</t>
  </si>
  <si>
    <t>RH-09</t>
  </si>
  <si>
    <t>Isis Mendonça</t>
  </si>
  <si>
    <t>RH-10</t>
  </si>
  <si>
    <t>Jonas Aguiar</t>
  </si>
  <si>
    <t>Exercício 5: Função CONT.SE — Volumetria de Chamados por Prioridade</t>
  </si>
  <si>
    <t>Calcule a quantidade de chamados para cada nível de prioridade utilizando a função =CONT.SE(intervalo; critério).</t>
  </si>
  <si>
    <t>CHAMADOS DE SUPORTE</t>
  </si>
  <si>
    <t>CONTAGEM POR PRIORIDADE</t>
  </si>
  <si>
    <t>ID Chamado</t>
  </si>
  <si>
    <t>Usuário</t>
  </si>
  <si>
    <t>Sistema</t>
  </si>
  <si>
    <t>Prioridade</t>
  </si>
  <si>
    <t>Status</t>
  </si>
  <si>
    <t>Qtd Chamados</t>
  </si>
  <si>
    <t>INC-201</t>
  </si>
  <si>
    <t>Alice Diniz</t>
  </si>
  <si>
    <t>ERP</t>
  </si>
  <si>
    <t>Alta</t>
  </si>
  <si>
    <t>Fechado</t>
  </si>
  <si>
    <t>INC-202</t>
  </si>
  <si>
    <t>Bruno Meireles</t>
  </si>
  <si>
    <t>CRM</t>
  </si>
  <si>
    <t>Média</t>
  </si>
  <si>
    <t>Aberto</t>
  </si>
  <si>
    <t>INC-203</t>
  </si>
  <si>
    <t>Carla Nogueira</t>
  </si>
  <si>
    <t>E-mail</t>
  </si>
  <si>
    <t>Baixa</t>
  </si>
  <si>
    <t>INC-204</t>
  </si>
  <si>
    <t>David Resende</t>
  </si>
  <si>
    <t>INC-205</t>
  </si>
  <si>
    <t>Elisa Fonseca</t>
  </si>
  <si>
    <t>Rede</t>
  </si>
  <si>
    <t>INC-206</t>
  </si>
  <si>
    <t>Felipe Xavier</t>
  </si>
  <si>
    <t>INC-207</t>
  </si>
  <si>
    <t>Gabriela Prado</t>
  </si>
  <si>
    <t>INC-208</t>
  </si>
  <si>
    <t>Hélio Castro</t>
  </si>
  <si>
    <t>INC-209</t>
  </si>
  <si>
    <t>Inês Peixoto</t>
  </si>
  <si>
    <t>INC-210</t>
  </si>
  <si>
    <t>Jorge Viana</t>
  </si>
  <si>
    <t>Exercício 6: Função CONT.SE — Inspeção de Controle de Qualidade</t>
  </si>
  <si>
    <t>Conte a quantidade de lotes 'Aprovados' e 'Reprovados' na inspeção de qualidade com a função =CONT.SE().</t>
  </si>
  <si>
    <t>INSPEÇÃO INDUSTRIAL</t>
  </si>
  <si>
    <t>RESUMO DA INSPEÇÃO</t>
  </si>
  <si>
    <t>Lote ID</t>
  </si>
  <si>
    <t>Peça / Componente</t>
  </si>
  <si>
    <t>Especificação (mm)</t>
  </si>
  <si>
    <t>Medida Real (mm)</t>
  </si>
  <si>
    <t>Parecer Qualidade</t>
  </si>
  <si>
    <t>Parecer</t>
  </si>
  <si>
    <t>Total Lotes</t>
  </si>
  <si>
    <t>LT-801</t>
  </si>
  <si>
    <t>Eixo de Transmissão</t>
  </si>
  <si>
    <t>Aprovado</t>
  </si>
  <si>
    <t>LT-802</t>
  </si>
  <si>
    <t>Válvula de Pressão</t>
  </si>
  <si>
    <t>Reprovado</t>
  </si>
  <si>
    <t>LT-803</t>
  </si>
  <si>
    <t>Engrenagem Dupla</t>
  </si>
  <si>
    <t>TOTAL INSPECCIONADO</t>
  </si>
  <si>
    <t>LT-804</t>
  </si>
  <si>
    <t>Rolamento Cônico</t>
  </si>
  <si>
    <t>LT-805</t>
  </si>
  <si>
    <t>Pino Guia 10mm</t>
  </si>
  <si>
    <t>LT-806</t>
  </si>
  <si>
    <t>Anel de Vedação</t>
  </si>
  <si>
    <t>LT-807</t>
  </si>
  <si>
    <t>Suporte Lateral</t>
  </si>
  <si>
    <t>LT-808</t>
  </si>
  <si>
    <t>Disco de Freio</t>
  </si>
  <si>
    <t>LT-809</t>
  </si>
  <si>
    <t>Mola de Torção</t>
  </si>
  <si>
    <t>LT-810</t>
  </si>
  <si>
    <t>Bucha de Bronze</t>
  </si>
  <si>
    <t>Exercício 7: Função CONT.SES — Leads Qualificados e Convertidos por Origem</t>
  </si>
  <si>
    <t>Calcule quantos leads foram Qualificados ('Sim') E Convertidos ('Convertido') por Origem usando =CONT.SES().</t>
  </si>
  <si>
    <t>BASE DE LEADS DE MARKETING</t>
  </si>
  <si>
    <t>LEADS QUALIFICADOS &amp; CONVERTIDOS</t>
  </si>
  <si>
    <t>Lead ID</t>
  </si>
  <si>
    <t>Origem Mídia</t>
  </si>
  <si>
    <t>Qualificado?</t>
  </si>
  <si>
    <t>Status Funil</t>
  </si>
  <si>
    <t>Valor Potencial</t>
  </si>
  <si>
    <t>Origem</t>
  </si>
  <si>
    <t>Convertidos Qualificados</t>
  </si>
  <si>
    <t>LD-301</t>
  </si>
  <si>
    <t>Google Ads</t>
  </si>
  <si>
    <t>Sim</t>
  </si>
  <si>
    <t>Convertido</t>
  </si>
  <si>
    <t>LD-302</t>
  </si>
  <si>
    <t>Instagram</t>
  </si>
  <si>
    <t>Em Negociação</t>
  </si>
  <si>
    <t>LD-303</t>
  </si>
  <si>
    <t>LinkedIn</t>
  </si>
  <si>
    <t>Não</t>
  </si>
  <si>
    <t>Perdido</t>
  </si>
  <si>
    <t>LD-304</t>
  </si>
  <si>
    <t>TOTAL CONVERTIDOS</t>
  </si>
  <si>
    <t>LD-305</t>
  </si>
  <si>
    <t>LD-306</t>
  </si>
  <si>
    <t>LD-307</t>
  </si>
  <si>
    <t>LD-308</t>
  </si>
  <si>
    <t>LD-309</t>
  </si>
  <si>
    <t>LD-310</t>
  </si>
  <si>
    <t>Exercício 8: Função CONT.SES — Veículos por Tipo com Revisão Em Dia</t>
  </si>
  <si>
    <t>Calcule a quantidade de veículos localizados no estado de 'SP' com situação de Revisão 'Em Dia' usando =CONT.SES().</t>
  </si>
  <si>
    <t>CONTROLE DE FROTA</t>
  </si>
  <si>
    <t>VEÍCULOS EM SP COM REVISÃO EM DIA</t>
  </si>
  <si>
    <t>Cód Veículo</t>
  </si>
  <si>
    <t>Tipo Veículo</t>
  </si>
  <si>
    <t>Estado (UF)</t>
  </si>
  <si>
    <t>Revisão</t>
  </si>
  <si>
    <t>Km Rodados</t>
  </si>
  <si>
    <t>Qtd Regulamentar</t>
  </si>
  <si>
    <t>VEC-101</t>
  </si>
  <si>
    <t>Caminhão</t>
  </si>
  <si>
    <t>Em Dia</t>
  </si>
  <si>
    <t>VEC-102</t>
  </si>
  <si>
    <t>Furgão</t>
  </si>
  <si>
    <t>VEC-103</t>
  </si>
  <si>
    <t>Pendente</t>
  </si>
  <si>
    <t>VUC</t>
  </si>
  <si>
    <t>VEC-104</t>
  </si>
  <si>
    <t>TOTAL EM SP EM DIA</t>
  </si>
  <si>
    <t>VEC-105</t>
  </si>
  <si>
    <t>VEC-106</t>
  </si>
  <si>
    <t>VEC-107</t>
  </si>
  <si>
    <t>VEC-108</t>
  </si>
  <si>
    <t>VEC-109</t>
  </si>
  <si>
    <t>VEC-110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</si>
</sst>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0"/>
      <color rgb="FF333333"/>
      <name val="Calibri"/>
    </font>
    <font>
      <b/>
      <sz val="11"/>
      <color rgb="FF1F497D"/>
      <name val="Calibri"/>
    </font>
    <font>
      <b/>
      <sz val="11"/>
      <color rgb="FFFFFFFF"/>
      <name val="Calibri"/>
    </font>
    <font>
      <b/>
      <sz val="11"/>
      <color rgb="FF1F497D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6" fillId="0" borderId="2" xfId="0" applyFont="1" applyBorder="1"/>
    <xf numFmtId="164" fontId="6" fillId="6" borderId="2" xfId="0" applyNumberFormat="1" applyFont="1" applyFill="1" applyBorder="1"/>
    <xf numFmtId="3" fontId="0" fillId="3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3" fontId="6" fillId="6" borderId="2" xfId="0" applyNumberFormat="1" applyFont="1" applyFill="1" applyBorder="1"/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F19" sqref="F19"/>
    </sheetView>
  </sheetViews>
  <sheetFormatPr defaultRowHeight="14.4" x14ac:dyDescent="0.3"/>
  <cols>
    <col min="1" max="1" width="19" customWidth="1"/>
    <col min="2" max="2" width="16" customWidth="1"/>
    <col min="3" max="3" width="13" customWidth="1"/>
    <col min="4" max="4" width="15" customWidth="1"/>
    <col min="5" max="5" width="18" customWidth="1"/>
    <col min="6" max="6" width="13" customWidth="1"/>
    <col min="7" max="7" width="22" customWidth="1"/>
    <col min="8" max="8" width="22.33203125" customWidth="1"/>
  </cols>
  <sheetData>
    <row r="1" spans="1:8" ht="22.05" customHeight="1" x14ac:dyDescent="0.3">
      <c r="A1" s="22" t="s">
        <v>0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0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2</v>
      </c>
      <c r="G4" s="1" t="s">
        <v>3</v>
      </c>
    </row>
    <row r="5" spans="1:8" x14ac:dyDescent="0.3">
      <c r="A5" s="2" t="s">
        <v>4</v>
      </c>
      <c r="B5" s="3" t="s">
        <v>5</v>
      </c>
      <c r="C5" s="2" t="s">
        <v>6</v>
      </c>
      <c r="D5" s="3" t="s">
        <v>7</v>
      </c>
      <c r="E5" s="3" t="s">
        <v>8</v>
      </c>
      <c r="G5" s="4" t="s">
        <v>6</v>
      </c>
      <c r="H5" s="4" t="s">
        <v>9</v>
      </c>
    </row>
    <row r="6" spans="1:8" x14ac:dyDescent="0.3">
      <c r="A6" s="5">
        <v>1001</v>
      </c>
      <c r="B6" s="6" t="s">
        <v>10</v>
      </c>
      <c r="C6" s="6" t="s">
        <v>11</v>
      </c>
      <c r="D6" s="6" t="s">
        <v>12</v>
      </c>
      <c r="E6" s="7">
        <v>4500</v>
      </c>
      <c r="G6" s="8" t="s">
        <v>11</v>
      </c>
      <c r="H6" s="9"/>
    </row>
    <row r="7" spans="1:8" x14ac:dyDescent="0.3">
      <c r="A7" s="8">
        <v>1002</v>
      </c>
      <c r="B7" s="10" t="s">
        <v>13</v>
      </c>
      <c r="C7" s="10" t="s">
        <v>14</v>
      </c>
      <c r="D7" s="10" t="s">
        <v>15</v>
      </c>
      <c r="E7" s="11">
        <v>2800</v>
      </c>
      <c r="G7" s="8" t="s">
        <v>14</v>
      </c>
      <c r="H7" s="9"/>
    </row>
    <row r="8" spans="1:8" x14ac:dyDescent="0.3">
      <c r="A8" s="5">
        <v>1003</v>
      </c>
      <c r="B8" s="6" t="s">
        <v>16</v>
      </c>
      <c r="C8" s="6" t="s">
        <v>11</v>
      </c>
      <c r="D8" s="6" t="s">
        <v>12</v>
      </c>
      <c r="E8" s="7">
        <v>6200</v>
      </c>
      <c r="G8" s="8" t="s">
        <v>17</v>
      </c>
      <c r="H8" s="9"/>
    </row>
    <row r="9" spans="1:8" x14ac:dyDescent="0.3">
      <c r="A9" s="8">
        <v>1004</v>
      </c>
      <c r="B9" s="10" t="s">
        <v>18</v>
      </c>
      <c r="C9" s="10" t="s">
        <v>17</v>
      </c>
      <c r="D9" s="10" t="s">
        <v>15</v>
      </c>
      <c r="E9" s="11">
        <v>1900</v>
      </c>
      <c r="G9" s="12" t="s">
        <v>19</v>
      </c>
      <c r="H9" s="13">
        <f>SUM(H6:H8)</f>
        <v>0</v>
      </c>
    </row>
    <row r="10" spans="1:8" x14ac:dyDescent="0.3">
      <c r="A10" s="5">
        <v>1005</v>
      </c>
      <c r="B10" s="6" t="s">
        <v>20</v>
      </c>
      <c r="C10" s="6" t="s">
        <v>11</v>
      </c>
      <c r="D10" s="6" t="s">
        <v>21</v>
      </c>
      <c r="E10" s="7">
        <v>3100</v>
      </c>
    </row>
    <row r="11" spans="1:8" x14ac:dyDescent="0.3">
      <c r="A11" s="8">
        <v>1006</v>
      </c>
      <c r="B11" s="10" t="s">
        <v>22</v>
      </c>
      <c r="C11" s="10" t="s">
        <v>14</v>
      </c>
      <c r="D11" s="10" t="s">
        <v>12</v>
      </c>
      <c r="E11" s="11">
        <v>5400</v>
      </c>
    </row>
    <row r="12" spans="1:8" x14ac:dyDescent="0.3">
      <c r="A12" s="5">
        <v>1007</v>
      </c>
      <c r="B12" s="6" t="s">
        <v>23</v>
      </c>
      <c r="C12" s="6" t="s">
        <v>17</v>
      </c>
      <c r="D12" s="6" t="s">
        <v>21</v>
      </c>
      <c r="E12" s="7">
        <v>4200</v>
      </c>
    </row>
    <row r="13" spans="1:8" x14ac:dyDescent="0.3">
      <c r="A13" s="8">
        <v>1008</v>
      </c>
      <c r="B13" s="10" t="s">
        <v>24</v>
      </c>
      <c r="C13" s="10" t="s">
        <v>11</v>
      </c>
      <c r="D13" s="10" t="s">
        <v>15</v>
      </c>
      <c r="E13" s="11">
        <v>3800</v>
      </c>
    </row>
    <row r="14" spans="1:8" x14ac:dyDescent="0.3">
      <c r="A14" s="5">
        <v>1009</v>
      </c>
      <c r="B14" s="6" t="s">
        <v>25</v>
      </c>
      <c r="C14" s="6" t="s">
        <v>14</v>
      </c>
      <c r="D14" s="6" t="s">
        <v>21</v>
      </c>
      <c r="E14" s="7">
        <v>2900</v>
      </c>
    </row>
    <row r="15" spans="1:8" x14ac:dyDescent="0.3">
      <c r="A15" s="8">
        <v>1010</v>
      </c>
      <c r="B15" s="10" t="s">
        <v>26</v>
      </c>
      <c r="C15" s="10" t="s">
        <v>17</v>
      </c>
      <c r="D15" s="10" t="s">
        <v>12</v>
      </c>
      <c r="E15" s="11">
        <v>5100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F23" sqref="F23"/>
    </sheetView>
  </sheetViews>
  <sheetFormatPr defaultRowHeight="14.4" x14ac:dyDescent="0.3"/>
  <cols>
    <col min="1" max="1" width="25" customWidth="1"/>
    <col min="2" max="2" width="23" customWidth="1"/>
    <col min="3" max="3" width="14" customWidth="1"/>
    <col min="4" max="4" width="15" customWidth="1"/>
    <col min="5" max="5" width="18" customWidth="1"/>
    <col min="6" max="6" width="20" customWidth="1"/>
    <col min="7" max="7" width="5" customWidth="1"/>
    <col min="8" max="8" width="24" customWidth="1"/>
    <col min="9" max="9" width="24.77734375" customWidth="1"/>
  </cols>
  <sheetData>
    <row r="1" spans="1:9" ht="22.05" customHeight="1" x14ac:dyDescent="0.3">
      <c r="A1" s="22" t="s">
        <v>27</v>
      </c>
      <c r="B1" s="21"/>
      <c r="C1" s="21"/>
      <c r="D1" s="21"/>
      <c r="E1" s="21"/>
      <c r="F1" s="21"/>
      <c r="G1" s="21"/>
      <c r="H1" s="21"/>
      <c r="I1" s="21"/>
    </row>
    <row r="2" spans="1:9" ht="19.95" customHeight="1" x14ac:dyDescent="0.3">
      <c r="A2" s="20" t="s">
        <v>28</v>
      </c>
      <c r="B2" s="21"/>
      <c r="C2" s="21"/>
      <c r="D2" s="21"/>
      <c r="E2" s="21"/>
      <c r="F2" s="21"/>
      <c r="G2" s="21"/>
      <c r="H2" s="21"/>
      <c r="I2" s="21"/>
    </row>
    <row r="4" spans="1:9" x14ac:dyDescent="0.3">
      <c r="A4" s="1" t="s">
        <v>29</v>
      </c>
      <c r="H4" s="1" t="s">
        <v>30</v>
      </c>
    </row>
    <row r="5" spans="1:9" x14ac:dyDescent="0.3">
      <c r="A5" s="2" t="s">
        <v>31</v>
      </c>
      <c r="B5" s="3" t="s">
        <v>32</v>
      </c>
      <c r="C5" s="2" t="s">
        <v>7</v>
      </c>
      <c r="D5" s="2" t="s">
        <v>33</v>
      </c>
      <c r="E5" s="3" t="s">
        <v>34</v>
      </c>
      <c r="F5" s="3" t="s">
        <v>35</v>
      </c>
      <c r="H5" s="4" t="s">
        <v>7</v>
      </c>
      <c r="I5" s="4" t="s">
        <v>36</v>
      </c>
    </row>
    <row r="6" spans="1:9" x14ac:dyDescent="0.3">
      <c r="A6" s="5" t="s">
        <v>37</v>
      </c>
      <c r="B6" s="6" t="s">
        <v>38</v>
      </c>
      <c r="C6" s="5" t="s">
        <v>39</v>
      </c>
      <c r="D6" s="14">
        <v>120</v>
      </c>
      <c r="E6" s="7">
        <v>18.5</v>
      </c>
      <c r="F6" s="7">
        <f t="shared" ref="F6:F15" si="0">D6*E6</f>
        <v>2220</v>
      </c>
      <c r="H6" s="8" t="s">
        <v>39</v>
      </c>
      <c r="I6" s="9"/>
    </row>
    <row r="7" spans="1:9" x14ac:dyDescent="0.3">
      <c r="A7" s="8" t="s">
        <v>40</v>
      </c>
      <c r="B7" s="10" t="s">
        <v>41</v>
      </c>
      <c r="C7" s="8" t="s">
        <v>39</v>
      </c>
      <c r="D7" s="15">
        <v>250</v>
      </c>
      <c r="E7" s="11">
        <v>7.2</v>
      </c>
      <c r="F7" s="11">
        <f t="shared" si="0"/>
        <v>1800</v>
      </c>
      <c r="H7" s="8" t="s">
        <v>42</v>
      </c>
      <c r="I7" s="9"/>
    </row>
    <row r="8" spans="1:9" x14ac:dyDescent="0.3">
      <c r="A8" s="5" t="s">
        <v>43</v>
      </c>
      <c r="B8" s="6" t="s">
        <v>44</v>
      </c>
      <c r="C8" s="5" t="s">
        <v>42</v>
      </c>
      <c r="D8" s="14">
        <v>400</v>
      </c>
      <c r="E8" s="7">
        <v>4.8</v>
      </c>
      <c r="F8" s="7">
        <f t="shared" si="0"/>
        <v>1920</v>
      </c>
      <c r="H8" s="8" t="s">
        <v>45</v>
      </c>
      <c r="I8" s="9"/>
    </row>
    <row r="9" spans="1:9" x14ac:dyDescent="0.3">
      <c r="A9" s="8" t="s">
        <v>46</v>
      </c>
      <c r="B9" s="10" t="s">
        <v>47</v>
      </c>
      <c r="C9" s="8" t="s">
        <v>42</v>
      </c>
      <c r="D9" s="15">
        <v>85</v>
      </c>
      <c r="E9" s="11">
        <v>38</v>
      </c>
      <c r="F9" s="11">
        <f t="shared" si="0"/>
        <v>3230</v>
      </c>
      <c r="H9" s="12" t="s">
        <v>48</v>
      </c>
      <c r="I9" s="13">
        <f>SUM(I6:I8)</f>
        <v>0</v>
      </c>
    </row>
    <row r="10" spans="1:9" x14ac:dyDescent="0.3">
      <c r="A10" s="5" t="s">
        <v>49</v>
      </c>
      <c r="B10" s="6" t="s">
        <v>50</v>
      </c>
      <c r="C10" s="5" t="s">
        <v>45</v>
      </c>
      <c r="D10" s="14">
        <v>180</v>
      </c>
      <c r="E10" s="7">
        <v>8.5</v>
      </c>
      <c r="F10" s="7">
        <f t="shared" si="0"/>
        <v>1530</v>
      </c>
    </row>
    <row r="11" spans="1:9" x14ac:dyDescent="0.3">
      <c r="A11" s="8" t="s">
        <v>51</v>
      </c>
      <c r="B11" s="10" t="s">
        <v>52</v>
      </c>
      <c r="C11" s="8" t="s">
        <v>45</v>
      </c>
      <c r="D11" s="15">
        <v>150</v>
      </c>
      <c r="E11" s="11">
        <v>14</v>
      </c>
      <c r="F11" s="11">
        <f t="shared" si="0"/>
        <v>2100</v>
      </c>
    </row>
    <row r="12" spans="1:9" x14ac:dyDescent="0.3">
      <c r="A12" s="5" t="s">
        <v>53</v>
      </c>
      <c r="B12" s="6" t="s">
        <v>54</v>
      </c>
      <c r="C12" s="5" t="s">
        <v>39</v>
      </c>
      <c r="D12" s="14">
        <v>90</v>
      </c>
      <c r="E12" s="7">
        <v>9.3000000000000007</v>
      </c>
      <c r="F12" s="7">
        <f t="shared" si="0"/>
        <v>837.00000000000011</v>
      </c>
    </row>
    <row r="13" spans="1:9" x14ac:dyDescent="0.3">
      <c r="A13" s="8" t="s">
        <v>55</v>
      </c>
      <c r="B13" s="10" t="s">
        <v>56</v>
      </c>
      <c r="C13" s="8" t="s">
        <v>42</v>
      </c>
      <c r="D13" s="15">
        <v>210</v>
      </c>
      <c r="E13" s="11">
        <v>3.5</v>
      </c>
      <c r="F13" s="11">
        <f t="shared" si="0"/>
        <v>735</v>
      </c>
    </row>
    <row r="14" spans="1:9" x14ac:dyDescent="0.3">
      <c r="A14" s="5" t="s">
        <v>57</v>
      </c>
      <c r="B14" s="6" t="s">
        <v>58</v>
      </c>
      <c r="C14" s="5" t="s">
        <v>45</v>
      </c>
      <c r="D14" s="14">
        <v>110</v>
      </c>
      <c r="E14" s="7">
        <v>11.2</v>
      </c>
      <c r="F14" s="7">
        <f t="shared" si="0"/>
        <v>1232</v>
      </c>
    </row>
    <row r="15" spans="1:9" x14ac:dyDescent="0.3">
      <c r="A15" s="8" t="s">
        <v>59</v>
      </c>
      <c r="B15" s="10" t="s">
        <v>60</v>
      </c>
      <c r="C15" s="8" t="s">
        <v>39</v>
      </c>
      <c r="D15" s="15">
        <v>130</v>
      </c>
      <c r="E15" s="11">
        <v>8.9</v>
      </c>
      <c r="F15" s="11">
        <f t="shared" si="0"/>
        <v>1157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H23" sqref="H23"/>
    </sheetView>
  </sheetViews>
  <sheetFormatPr defaultRowHeight="14.4" x14ac:dyDescent="0.3"/>
  <cols>
    <col min="1" max="1" width="22" customWidth="1"/>
    <col min="2" max="2" width="17" customWidth="1"/>
    <col min="3" max="3" width="15" customWidth="1"/>
    <col min="4" max="5" width="17" customWidth="1"/>
    <col min="6" max="6" width="13" customWidth="1"/>
    <col min="7" max="7" width="31" customWidth="1"/>
    <col min="8" max="8" width="23.21875" customWidth="1"/>
  </cols>
  <sheetData>
    <row r="1" spans="1:8" ht="22.05" customHeight="1" x14ac:dyDescent="0.3">
      <c r="A1" s="22" t="s">
        <v>61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0" t="s">
        <v>62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63</v>
      </c>
      <c r="G4" s="1" t="s">
        <v>64</v>
      </c>
    </row>
    <row r="5" spans="1:8" x14ac:dyDescent="0.3">
      <c r="A5" s="2" t="s">
        <v>65</v>
      </c>
      <c r="B5" s="3" t="s">
        <v>66</v>
      </c>
      <c r="C5" s="2" t="s">
        <v>67</v>
      </c>
      <c r="D5" s="2" t="s">
        <v>68</v>
      </c>
      <c r="E5" s="3" t="s">
        <v>69</v>
      </c>
      <c r="G5" s="4" t="s">
        <v>70</v>
      </c>
      <c r="H5" s="4" t="s">
        <v>71</v>
      </c>
    </row>
    <row r="6" spans="1:8" x14ac:dyDescent="0.3">
      <c r="A6" s="5" t="s">
        <v>72</v>
      </c>
      <c r="B6" s="6" t="s">
        <v>73</v>
      </c>
      <c r="C6" s="5" t="s">
        <v>74</v>
      </c>
      <c r="D6" s="5" t="s">
        <v>75</v>
      </c>
      <c r="E6" s="7">
        <v>350</v>
      </c>
      <c r="G6" s="8" t="s">
        <v>74</v>
      </c>
      <c r="H6" s="9"/>
    </row>
    <row r="7" spans="1:8" x14ac:dyDescent="0.3">
      <c r="A7" s="8" t="s">
        <v>76</v>
      </c>
      <c r="B7" s="10" t="s">
        <v>77</v>
      </c>
      <c r="C7" s="8" t="s">
        <v>78</v>
      </c>
      <c r="D7" s="8" t="s">
        <v>75</v>
      </c>
      <c r="E7" s="11">
        <v>180</v>
      </c>
      <c r="G7" s="8" t="s">
        <v>78</v>
      </c>
      <c r="H7" s="9"/>
    </row>
    <row r="8" spans="1:8" x14ac:dyDescent="0.3">
      <c r="A8" s="5" t="s">
        <v>79</v>
      </c>
      <c r="B8" s="6" t="s">
        <v>80</v>
      </c>
      <c r="C8" s="5" t="s">
        <v>81</v>
      </c>
      <c r="D8" s="5" t="s">
        <v>82</v>
      </c>
      <c r="E8" s="7">
        <v>520</v>
      </c>
      <c r="G8" s="8" t="s">
        <v>81</v>
      </c>
      <c r="H8" s="9"/>
    </row>
    <row r="9" spans="1:8" x14ac:dyDescent="0.3">
      <c r="A9" s="8" t="s">
        <v>83</v>
      </c>
      <c r="B9" s="10" t="s">
        <v>84</v>
      </c>
      <c r="C9" s="8" t="s">
        <v>74</v>
      </c>
      <c r="D9" s="8" t="s">
        <v>75</v>
      </c>
      <c r="E9" s="11">
        <v>890</v>
      </c>
      <c r="G9" s="12" t="s">
        <v>19</v>
      </c>
      <c r="H9" s="13">
        <f>SUM(H6:H8)</f>
        <v>0</v>
      </c>
    </row>
    <row r="10" spans="1:8" x14ac:dyDescent="0.3">
      <c r="A10" s="5" t="s">
        <v>85</v>
      </c>
      <c r="B10" s="6" t="s">
        <v>86</v>
      </c>
      <c r="C10" s="5" t="s">
        <v>78</v>
      </c>
      <c r="D10" s="5" t="s">
        <v>87</v>
      </c>
      <c r="E10" s="7">
        <v>210</v>
      </c>
    </row>
    <row r="11" spans="1:8" x14ac:dyDescent="0.3">
      <c r="A11" s="8" t="s">
        <v>88</v>
      </c>
      <c r="B11" s="10" t="s">
        <v>89</v>
      </c>
      <c r="C11" s="8" t="s">
        <v>81</v>
      </c>
      <c r="D11" s="8" t="s">
        <v>75</v>
      </c>
      <c r="E11" s="11">
        <v>640</v>
      </c>
    </row>
    <row r="12" spans="1:8" x14ac:dyDescent="0.3">
      <c r="A12" s="5" t="s">
        <v>90</v>
      </c>
      <c r="B12" s="6" t="s">
        <v>91</v>
      </c>
      <c r="C12" s="5" t="s">
        <v>74</v>
      </c>
      <c r="D12" s="5" t="s">
        <v>82</v>
      </c>
      <c r="E12" s="7">
        <v>150</v>
      </c>
    </row>
    <row r="13" spans="1:8" x14ac:dyDescent="0.3">
      <c r="A13" s="8" t="s">
        <v>92</v>
      </c>
      <c r="B13" s="10" t="s">
        <v>93</v>
      </c>
      <c r="C13" s="8" t="s">
        <v>78</v>
      </c>
      <c r="D13" s="8" t="s">
        <v>75</v>
      </c>
      <c r="E13" s="11">
        <v>430</v>
      </c>
    </row>
    <row r="14" spans="1:8" x14ac:dyDescent="0.3">
      <c r="A14" s="5" t="s">
        <v>94</v>
      </c>
      <c r="B14" s="6" t="s">
        <v>95</v>
      </c>
      <c r="C14" s="5" t="s">
        <v>81</v>
      </c>
      <c r="D14" s="5" t="s">
        <v>75</v>
      </c>
      <c r="E14" s="7">
        <v>970</v>
      </c>
    </row>
    <row r="15" spans="1:8" x14ac:dyDescent="0.3">
      <c r="A15" s="8" t="s">
        <v>96</v>
      </c>
      <c r="B15" s="10" t="s">
        <v>97</v>
      </c>
      <c r="C15" s="8" t="s">
        <v>74</v>
      </c>
      <c r="D15" s="8" t="s">
        <v>75</v>
      </c>
      <c r="E15" s="11">
        <v>410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H6" sqref="H6:H8"/>
    </sheetView>
  </sheetViews>
  <sheetFormatPr defaultRowHeight="14.4" x14ac:dyDescent="0.3"/>
  <cols>
    <col min="1" max="1" width="27" customWidth="1"/>
    <col min="2" max="2" width="17" customWidth="1"/>
    <col min="3" max="3" width="16" customWidth="1"/>
    <col min="4" max="4" width="13" customWidth="1"/>
    <col min="5" max="5" width="19" customWidth="1"/>
    <col min="6" max="6" width="13" customWidth="1"/>
    <col min="7" max="7" width="33" customWidth="1"/>
    <col min="8" max="8" width="28.109375" customWidth="1"/>
  </cols>
  <sheetData>
    <row r="1" spans="1:8" ht="22.05" customHeight="1" x14ac:dyDescent="0.3">
      <c r="A1" s="22" t="s">
        <v>98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0" t="s">
        <v>99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100</v>
      </c>
      <c r="G4" s="1" t="s">
        <v>101</v>
      </c>
    </row>
    <row r="5" spans="1:8" x14ac:dyDescent="0.3">
      <c r="A5" s="2" t="s">
        <v>102</v>
      </c>
      <c r="B5" s="3" t="s">
        <v>103</v>
      </c>
      <c r="C5" s="2" t="s">
        <v>104</v>
      </c>
      <c r="D5" s="2" t="s">
        <v>105</v>
      </c>
      <c r="E5" s="3" t="s">
        <v>106</v>
      </c>
      <c r="G5" s="4" t="s">
        <v>104</v>
      </c>
      <c r="H5" s="4" t="s">
        <v>107</v>
      </c>
    </row>
    <row r="6" spans="1:8" x14ac:dyDescent="0.3">
      <c r="A6" s="5" t="s">
        <v>108</v>
      </c>
      <c r="B6" s="6" t="s">
        <v>109</v>
      </c>
      <c r="C6" s="5" t="s">
        <v>110</v>
      </c>
      <c r="D6" s="5" t="s">
        <v>111</v>
      </c>
      <c r="E6" s="7">
        <v>12500</v>
      </c>
      <c r="G6" s="8" t="s">
        <v>110</v>
      </c>
      <c r="H6" s="9"/>
    </row>
    <row r="7" spans="1:8" x14ac:dyDescent="0.3">
      <c r="A7" s="8" t="s">
        <v>112</v>
      </c>
      <c r="B7" s="10" t="s">
        <v>113</v>
      </c>
      <c r="C7" s="8" t="s">
        <v>114</v>
      </c>
      <c r="D7" s="8" t="s">
        <v>115</v>
      </c>
      <c r="E7" s="11">
        <v>6800</v>
      </c>
      <c r="G7" s="8" t="s">
        <v>114</v>
      </c>
      <c r="H7" s="9"/>
    </row>
    <row r="8" spans="1:8" x14ac:dyDescent="0.3">
      <c r="A8" s="5" t="s">
        <v>116</v>
      </c>
      <c r="B8" s="6" t="s">
        <v>117</v>
      </c>
      <c r="C8" s="5" t="s">
        <v>110</v>
      </c>
      <c r="D8" s="5" t="s">
        <v>115</v>
      </c>
      <c r="E8" s="7">
        <v>7500</v>
      </c>
      <c r="G8" s="8" t="s">
        <v>118</v>
      </c>
      <c r="H8" s="9"/>
    </row>
    <row r="9" spans="1:8" x14ac:dyDescent="0.3">
      <c r="A9" s="8" t="s">
        <v>119</v>
      </c>
      <c r="B9" s="10" t="s">
        <v>120</v>
      </c>
      <c r="C9" s="8" t="s">
        <v>118</v>
      </c>
      <c r="D9" s="8" t="s">
        <v>111</v>
      </c>
      <c r="E9" s="11">
        <v>13200</v>
      </c>
      <c r="G9" s="12" t="s">
        <v>121</v>
      </c>
      <c r="H9" s="13">
        <f>SUM(H6:H8)</f>
        <v>0</v>
      </c>
    </row>
    <row r="10" spans="1:8" x14ac:dyDescent="0.3">
      <c r="A10" s="5" t="s">
        <v>122</v>
      </c>
      <c r="B10" s="6" t="s">
        <v>123</v>
      </c>
      <c r="C10" s="5" t="s">
        <v>114</v>
      </c>
      <c r="D10" s="5" t="s">
        <v>111</v>
      </c>
      <c r="E10" s="7">
        <v>11800</v>
      </c>
    </row>
    <row r="11" spans="1:8" x14ac:dyDescent="0.3">
      <c r="A11" s="8" t="s">
        <v>124</v>
      </c>
      <c r="B11" s="10" t="s">
        <v>125</v>
      </c>
      <c r="C11" s="8" t="s">
        <v>110</v>
      </c>
      <c r="D11" s="8" t="s">
        <v>126</v>
      </c>
      <c r="E11" s="11">
        <v>4200</v>
      </c>
    </row>
    <row r="12" spans="1:8" x14ac:dyDescent="0.3">
      <c r="A12" s="5" t="s">
        <v>127</v>
      </c>
      <c r="B12" s="6" t="s">
        <v>128</v>
      </c>
      <c r="C12" s="5" t="s">
        <v>118</v>
      </c>
      <c r="D12" s="5" t="s">
        <v>115</v>
      </c>
      <c r="E12" s="7">
        <v>7100</v>
      </c>
    </row>
    <row r="13" spans="1:8" x14ac:dyDescent="0.3">
      <c r="A13" s="8" t="s">
        <v>129</v>
      </c>
      <c r="B13" s="10" t="s">
        <v>130</v>
      </c>
      <c r="C13" s="8" t="s">
        <v>114</v>
      </c>
      <c r="D13" s="8" t="s">
        <v>111</v>
      </c>
      <c r="E13" s="11">
        <v>12000</v>
      </c>
    </row>
    <row r="14" spans="1:8" x14ac:dyDescent="0.3">
      <c r="A14" s="5" t="s">
        <v>131</v>
      </c>
      <c r="B14" s="6" t="s">
        <v>132</v>
      </c>
      <c r="C14" s="5" t="s">
        <v>110</v>
      </c>
      <c r="D14" s="5" t="s">
        <v>111</v>
      </c>
      <c r="E14" s="7">
        <v>13500</v>
      </c>
    </row>
    <row r="15" spans="1:8" x14ac:dyDescent="0.3">
      <c r="A15" s="8" t="s">
        <v>133</v>
      </c>
      <c r="B15" s="10" t="s">
        <v>134</v>
      </c>
      <c r="C15" s="8" t="s">
        <v>118</v>
      </c>
      <c r="D15" s="8" t="s">
        <v>126</v>
      </c>
      <c r="E15" s="11">
        <v>3900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H6" sqref="H6:H8"/>
    </sheetView>
  </sheetViews>
  <sheetFormatPr defaultRowHeight="14.4" x14ac:dyDescent="0.3"/>
  <cols>
    <col min="1" max="1" width="23" customWidth="1"/>
    <col min="2" max="2" width="18" customWidth="1"/>
    <col min="3" max="3" width="13" customWidth="1"/>
    <col min="4" max="4" width="14" customWidth="1"/>
    <col min="5" max="6" width="13" customWidth="1"/>
    <col min="7" max="7" width="27" customWidth="1"/>
    <col min="8" max="8" width="29" customWidth="1"/>
  </cols>
  <sheetData>
    <row r="1" spans="1:8" ht="22.05" customHeight="1" x14ac:dyDescent="0.3">
      <c r="A1" s="22" t="s">
        <v>135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0" t="s">
        <v>136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137</v>
      </c>
      <c r="G4" s="1" t="s">
        <v>138</v>
      </c>
    </row>
    <row r="5" spans="1:8" x14ac:dyDescent="0.3">
      <c r="A5" s="2" t="s">
        <v>139</v>
      </c>
      <c r="B5" s="3" t="s">
        <v>140</v>
      </c>
      <c r="C5" s="3" t="s">
        <v>141</v>
      </c>
      <c r="D5" s="2" t="s">
        <v>142</v>
      </c>
      <c r="E5" s="2" t="s">
        <v>143</v>
      </c>
      <c r="G5" s="4" t="s">
        <v>142</v>
      </c>
      <c r="H5" s="4" t="s">
        <v>144</v>
      </c>
    </row>
    <row r="6" spans="1:8" x14ac:dyDescent="0.3">
      <c r="A6" s="5" t="s">
        <v>145</v>
      </c>
      <c r="B6" s="6" t="s">
        <v>146</v>
      </c>
      <c r="C6" s="6" t="s">
        <v>147</v>
      </c>
      <c r="D6" s="5" t="s">
        <v>148</v>
      </c>
      <c r="E6" s="5" t="s">
        <v>149</v>
      </c>
      <c r="G6" s="8" t="s">
        <v>148</v>
      </c>
      <c r="H6" s="16"/>
    </row>
    <row r="7" spans="1:8" x14ac:dyDescent="0.3">
      <c r="A7" s="8" t="s">
        <v>150</v>
      </c>
      <c r="B7" s="10" t="s">
        <v>151</v>
      </c>
      <c r="C7" s="10" t="s">
        <v>152</v>
      </c>
      <c r="D7" s="8" t="s">
        <v>153</v>
      </c>
      <c r="E7" s="8" t="s">
        <v>154</v>
      </c>
      <c r="G7" s="8" t="s">
        <v>153</v>
      </c>
      <c r="H7" s="16"/>
    </row>
    <row r="8" spans="1:8" x14ac:dyDescent="0.3">
      <c r="A8" s="5" t="s">
        <v>155</v>
      </c>
      <c r="B8" s="6" t="s">
        <v>156</v>
      </c>
      <c r="C8" s="6" t="s">
        <v>157</v>
      </c>
      <c r="D8" s="5" t="s">
        <v>158</v>
      </c>
      <c r="E8" s="5" t="s">
        <v>149</v>
      </c>
      <c r="G8" s="8" t="s">
        <v>158</v>
      </c>
      <c r="H8" s="16"/>
    </row>
    <row r="9" spans="1:8" x14ac:dyDescent="0.3">
      <c r="A9" s="8" t="s">
        <v>159</v>
      </c>
      <c r="B9" s="10" t="s">
        <v>160</v>
      </c>
      <c r="C9" s="10" t="s">
        <v>147</v>
      </c>
      <c r="D9" s="8" t="s">
        <v>148</v>
      </c>
      <c r="E9" s="8" t="s">
        <v>154</v>
      </c>
      <c r="G9" s="12" t="s">
        <v>19</v>
      </c>
      <c r="H9" s="17">
        <f>SUM(H6:H8)</f>
        <v>0</v>
      </c>
    </row>
    <row r="10" spans="1:8" x14ac:dyDescent="0.3">
      <c r="A10" s="5" t="s">
        <v>161</v>
      </c>
      <c r="B10" s="6" t="s">
        <v>162</v>
      </c>
      <c r="C10" s="6" t="s">
        <v>163</v>
      </c>
      <c r="D10" s="5" t="s">
        <v>153</v>
      </c>
      <c r="E10" s="5" t="s">
        <v>149</v>
      </c>
    </row>
    <row r="11" spans="1:8" x14ac:dyDescent="0.3">
      <c r="A11" s="8" t="s">
        <v>164</v>
      </c>
      <c r="B11" s="10" t="s">
        <v>165</v>
      </c>
      <c r="C11" s="10" t="s">
        <v>152</v>
      </c>
      <c r="D11" s="8" t="s">
        <v>148</v>
      </c>
      <c r="E11" s="8" t="s">
        <v>149</v>
      </c>
    </row>
    <row r="12" spans="1:8" x14ac:dyDescent="0.3">
      <c r="A12" s="5" t="s">
        <v>166</v>
      </c>
      <c r="B12" s="6" t="s">
        <v>167</v>
      </c>
      <c r="C12" s="6" t="s">
        <v>147</v>
      </c>
      <c r="D12" s="5" t="s">
        <v>158</v>
      </c>
      <c r="E12" s="5" t="s">
        <v>149</v>
      </c>
    </row>
    <row r="13" spans="1:8" x14ac:dyDescent="0.3">
      <c r="A13" s="8" t="s">
        <v>168</v>
      </c>
      <c r="B13" s="10" t="s">
        <v>169</v>
      </c>
      <c r="C13" s="10" t="s">
        <v>157</v>
      </c>
      <c r="D13" s="8" t="s">
        <v>153</v>
      </c>
      <c r="E13" s="8" t="s">
        <v>154</v>
      </c>
    </row>
    <row r="14" spans="1:8" x14ac:dyDescent="0.3">
      <c r="A14" s="5" t="s">
        <v>170</v>
      </c>
      <c r="B14" s="6" t="s">
        <v>171</v>
      </c>
      <c r="C14" s="6" t="s">
        <v>163</v>
      </c>
      <c r="D14" s="5" t="s">
        <v>148</v>
      </c>
      <c r="E14" s="5" t="s">
        <v>149</v>
      </c>
    </row>
    <row r="15" spans="1:8" x14ac:dyDescent="0.3">
      <c r="A15" s="8" t="s">
        <v>172</v>
      </c>
      <c r="B15" s="10" t="s">
        <v>173</v>
      </c>
      <c r="C15" s="10" t="s">
        <v>152</v>
      </c>
      <c r="D15" s="8" t="s">
        <v>158</v>
      </c>
      <c r="E15" s="8" t="s">
        <v>149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selection activeCell="H6" sqref="H6:H7"/>
    </sheetView>
  </sheetViews>
  <sheetFormatPr defaultRowHeight="14.4" x14ac:dyDescent="0.3"/>
  <cols>
    <col min="1" max="2" width="23" customWidth="1"/>
    <col min="3" max="3" width="22" customWidth="1"/>
    <col min="4" max="4" width="20" customWidth="1"/>
    <col min="5" max="5" width="21" customWidth="1"/>
    <col min="6" max="6" width="13" customWidth="1"/>
    <col min="7" max="7" width="23" customWidth="1"/>
    <col min="8" max="8" width="33" customWidth="1"/>
  </cols>
  <sheetData>
    <row r="1" spans="1:8" ht="22.05" customHeight="1" x14ac:dyDescent="0.3">
      <c r="A1" s="22" t="s">
        <v>174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0" t="s">
        <v>175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176</v>
      </c>
      <c r="G4" s="1" t="s">
        <v>177</v>
      </c>
    </row>
    <row r="5" spans="1:8" x14ac:dyDescent="0.3">
      <c r="A5" s="2" t="s">
        <v>178</v>
      </c>
      <c r="B5" s="3" t="s">
        <v>179</v>
      </c>
      <c r="C5" s="3" t="s">
        <v>180</v>
      </c>
      <c r="D5" s="3" t="s">
        <v>181</v>
      </c>
      <c r="E5" s="2" t="s">
        <v>182</v>
      </c>
      <c r="G5" s="4" t="s">
        <v>183</v>
      </c>
      <c r="H5" s="4" t="s">
        <v>184</v>
      </c>
    </row>
    <row r="6" spans="1:8" x14ac:dyDescent="0.3">
      <c r="A6" s="5" t="s">
        <v>185</v>
      </c>
      <c r="B6" s="6" t="s">
        <v>186</v>
      </c>
      <c r="C6" s="18">
        <v>50</v>
      </c>
      <c r="D6" s="18">
        <v>50.1</v>
      </c>
      <c r="E6" s="5" t="s">
        <v>187</v>
      </c>
      <c r="G6" s="8" t="s">
        <v>187</v>
      </c>
      <c r="H6" s="16"/>
    </row>
    <row r="7" spans="1:8" x14ac:dyDescent="0.3">
      <c r="A7" s="8" t="s">
        <v>188</v>
      </c>
      <c r="B7" s="10" t="s">
        <v>189</v>
      </c>
      <c r="C7" s="19">
        <v>12</v>
      </c>
      <c r="D7" s="19">
        <v>12.8</v>
      </c>
      <c r="E7" s="8" t="s">
        <v>190</v>
      </c>
      <c r="G7" s="8" t="s">
        <v>190</v>
      </c>
      <c r="H7" s="16"/>
    </row>
    <row r="8" spans="1:8" x14ac:dyDescent="0.3">
      <c r="A8" s="5" t="s">
        <v>191</v>
      </c>
      <c r="B8" s="6" t="s">
        <v>192</v>
      </c>
      <c r="C8" s="18">
        <v>85</v>
      </c>
      <c r="D8" s="18">
        <v>85</v>
      </c>
      <c r="E8" s="5" t="s">
        <v>187</v>
      </c>
      <c r="G8" s="12" t="s">
        <v>193</v>
      </c>
      <c r="H8" s="17">
        <f>SUM(H6:H7)</f>
        <v>0</v>
      </c>
    </row>
    <row r="9" spans="1:8" x14ac:dyDescent="0.3">
      <c r="A9" s="8" t="s">
        <v>194</v>
      </c>
      <c r="B9" s="10" t="s">
        <v>195</v>
      </c>
      <c r="C9" s="19">
        <v>30</v>
      </c>
      <c r="D9" s="19">
        <v>30.2</v>
      </c>
      <c r="E9" s="8" t="s">
        <v>187</v>
      </c>
    </row>
    <row r="10" spans="1:8" x14ac:dyDescent="0.3">
      <c r="A10" s="5" t="s">
        <v>196</v>
      </c>
      <c r="B10" s="6" t="s">
        <v>197</v>
      </c>
      <c r="C10" s="18">
        <v>10</v>
      </c>
      <c r="D10" s="18">
        <v>10.9</v>
      </c>
      <c r="E10" s="5" t="s">
        <v>190</v>
      </c>
    </row>
    <row r="11" spans="1:8" x14ac:dyDescent="0.3">
      <c r="A11" s="8" t="s">
        <v>198</v>
      </c>
      <c r="B11" s="10" t="s">
        <v>199</v>
      </c>
      <c r="C11" s="19">
        <v>25</v>
      </c>
      <c r="D11" s="19">
        <v>25.1</v>
      </c>
      <c r="E11" s="8" t="s">
        <v>187</v>
      </c>
    </row>
    <row r="12" spans="1:8" x14ac:dyDescent="0.3">
      <c r="A12" s="5" t="s">
        <v>200</v>
      </c>
      <c r="B12" s="6" t="s">
        <v>201</v>
      </c>
      <c r="C12" s="18">
        <v>100</v>
      </c>
      <c r="D12" s="18">
        <v>100.2</v>
      </c>
      <c r="E12" s="5" t="s">
        <v>187</v>
      </c>
    </row>
    <row r="13" spans="1:8" x14ac:dyDescent="0.3">
      <c r="A13" s="8" t="s">
        <v>202</v>
      </c>
      <c r="B13" s="10" t="s">
        <v>203</v>
      </c>
      <c r="C13" s="19">
        <v>280</v>
      </c>
      <c r="D13" s="19">
        <v>283.5</v>
      </c>
      <c r="E13" s="8" t="s">
        <v>190</v>
      </c>
    </row>
    <row r="14" spans="1:8" x14ac:dyDescent="0.3">
      <c r="A14" s="5" t="s">
        <v>204</v>
      </c>
      <c r="B14" s="6" t="s">
        <v>205</v>
      </c>
      <c r="C14" s="18">
        <v>15</v>
      </c>
      <c r="D14" s="18">
        <v>15.1</v>
      </c>
      <c r="E14" s="5" t="s">
        <v>187</v>
      </c>
    </row>
    <row r="15" spans="1:8" x14ac:dyDescent="0.3">
      <c r="A15" s="8" t="s">
        <v>206</v>
      </c>
      <c r="B15" s="10" t="s">
        <v>207</v>
      </c>
      <c r="C15" s="19">
        <v>40</v>
      </c>
      <c r="D15" s="19">
        <v>40</v>
      </c>
      <c r="E15" s="8" t="s">
        <v>187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H14" sqref="H14"/>
    </sheetView>
  </sheetViews>
  <sheetFormatPr defaultRowHeight="14.4" x14ac:dyDescent="0.3"/>
  <cols>
    <col min="1" max="1" width="30" customWidth="1"/>
    <col min="2" max="3" width="16" customWidth="1"/>
    <col min="4" max="4" width="17" customWidth="1"/>
    <col min="5" max="5" width="19" customWidth="1"/>
    <col min="6" max="6" width="4.44140625" customWidth="1"/>
    <col min="7" max="7" width="36" customWidth="1"/>
    <col min="8" max="8" width="23" customWidth="1"/>
  </cols>
  <sheetData>
    <row r="1" spans="1:8" ht="22.05" customHeight="1" x14ac:dyDescent="0.3">
      <c r="A1" s="22" t="s">
        <v>208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0" t="s">
        <v>209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210</v>
      </c>
      <c r="G4" s="1" t="s">
        <v>211</v>
      </c>
    </row>
    <row r="5" spans="1:8" x14ac:dyDescent="0.3">
      <c r="A5" s="2" t="s">
        <v>212</v>
      </c>
      <c r="B5" s="2" t="s">
        <v>213</v>
      </c>
      <c r="C5" s="2" t="s">
        <v>214</v>
      </c>
      <c r="D5" s="2" t="s">
        <v>215</v>
      </c>
      <c r="E5" s="3" t="s">
        <v>216</v>
      </c>
      <c r="G5" s="4" t="s">
        <v>217</v>
      </c>
      <c r="H5" s="4" t="s">
        <v>218</v>
      </c>
    </row>
    <row r="6" spans="1:8" x14ac:dyDescent="0.3">
      <c r="A6" s="5" t="s">
        <v>219</v>
      </c>
      <c r="B6" s="5" t="s">
        <v>220</v>
      </c>
      <c r="C6" s="5" t="s">
        <v>221</v>
      </c>
      <c r="D6" s="5" t="s">
        <v>222</v>
      </c>
      <c r="E6" s="7">
        <v>12000</v>
      </c>
      <c r="G6" s="8" t="s">
        <v>220</v>
      </c>
      <c r="H6" s="16"/>
    </row>
    <row r="7" spans="1:8" x14ac:dyDescent="0.3">
      <c r="A7" s="8" t="s">
        <v>223</v>
      </c>
      <c r="B7" s="8" t="s">
        <v>224</v>
      </c>
      <c r="C7" s="8" t="s">
        <v>221</v>
      </c>
      <c r="D7" s="8" t="s">
        <v>225</v>
      </c>
      <c r="E7" s="11">
        <v>8500</v>
      </c>
      <c r="G7" s="8" t="s">
        <v>224</v>
      </c>
      <c r="H7" s="16"/>
    </row>
    <row r="8" spans="1:8" x14ac:dyDescent="0.3">
      <c r="A8" s="5" t="s">
        <v>226</v>
      </c>
      <c r="B8" s="5" t="s">
        <v>227</v>
      </c>
      <c r="C8" s="5" t="s">
        <v>228</v>
      </c>
      <c r="D8" s="5" t="s">
        <v>229</v>
      </c>
      <c r="E8" s="7">
        <v>15000</v>
      </c>
      <c r="G8" s="8" t="s">
        <v>227</v>
      </c>
      <c r="H8" s="16"/>
    </row>
    <row r="9" spans="1:8" x14ac:dyDescent="0.3">
      <c r="A9" s="8" t="s">
        <v>230</v>
      </c>
      <c r="B9" s="8" t="s">
        <v>220</v>
      </c>
      <c r="C9" s="8" t="s">
        <v>221</v>
      </c>
      <c r="D9" s="8" t="s">
        <v>222</v>
      </c>
      <c r="E9" s="11">
        <v>9800</v>
      </c>
      <c r="G9" s="12" t="s">
        <v>231</v>
      </c>
      <c r="H9" s="17">
        <f>SUM(H6:H8)</f>
        <v>0</v>
      </c>
    </row>
    <row r="10" spans="1:8" x14ac:dyDescent="0.3">
      <c r="A10" s="5" t="s">
        <v>232</v>
      </c>
      <c r="B10" s="5" t="s">
        <v>224</v>
      </c>
      <c r="C10" s="5" t="s">
        <v>221</v>
      </c>
      <c r="D10" s="5" t="s">
        <v>222</v>
      </c>
      <c r="E10" s="7">
        <v>6200</v>
      </c>
    </row>
    <row r="11" spans="1:8" x14ac:dyDescent="0.3">
      <c r="A11" s="8" t="s">
        <v>233</v>
      </c>
      <c r="B11" s="8" t="s">
        <v>227</v>
      </c>
      <c r="C11" s="8" t="s">
        <v>221</v>
      </c>
      <c r="D11" s="8" t="s">
        <v>222</v>
      </c>
      <c r="E11" s="11">
        <v>22000</v>
      </c>
    </row>
    <row r="12" spans="1:8" x14ac:dyDescent="0.3">
      <c r="A12" s="5" t="s">
        <v>234</v>
      </c>
      <c r="B12" s="5" t="s">
        <v>220</v>
      </c>
      <c r="C12" s="5" t="s">
        <v>228</v>
      </c>
      <c r="D12" s="5" t="s">
        <v>229</v>
      </c>
      <c r="E12" s="7">
        <v>5000</v>
      </c>
    </row>
    <row r="13" spans="1:8" x14ac:dyDescent="0.3">
      <c r="A13" s="8" t="s">
        <v>235</v>
      </c>
      <c r="B13" s="8" t="s">
        <v>224</v>
      </c>
      <c r="C13" s="8" t="s">
        <v>221</v>
      </c>
      <c r="D13" s="8" t="s">
        <v>229</v>
      </c>
      <c r="E13" s="11">
        <v>7400</v>
      </c>
    </row>
    <row r="14" spans="1:8" x14ac:dyDescent="0.3">
      <c r="A14" s="5" t="s">
        <v>236</v>
      </c>
      <c r="B14" s="5" t="s">
        <v>227</v>
      </c>
      <c r="C14" s="5" t="s">
        <v>221</v>
      </c>
      <c r="D14" s="5" t="s">
        <v>222</v>
      </c>
      <c r="E14" s="7">
        <v>18500</v>
      </c>
    </row>
    <row r="15" spans="1:8" x14ac:dyDescent="0.3">
      <c r="A15" s="8" t="s">
        <v>237</v>
      </c>
      <c r="B15" s="8" t="s">
        <v>220</v>
      </c>
      <c r="C15" s="8" t="s">
        <v>221</v>
      </c>
      <c r="D15" s="8" t="s">
        <v>225</v>
      </c>
      <c r="E15" s="11">
        <v>11000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>
      <selection activeCell="G21" sqref="G21"/>
    </sheetView>
  </sheetViews>
  <sheetFormatPr defaultRowHeight="14.4" x14ac:dyDescent="0.3"/>
  <cols>
    <col min="1" max="1" width="21" customWidth="1"/>
    <col min="2" max="2" width="16" customWidth="1"/>
    <col min="3" max="3" width="15" customWidth="1"/>
    <col min="4" max="4" width="13" customWidth="1"/>
    <col min="5" max="5" width="14" customWidth="1"/>
    <col min="6" max="6" width="5" customWidth="1"/>
    <col min="7" max="7" width="37" customWidth="1"/>
    <col min="8" max="8" width="16.44140625" customWidth="1"/>
  </cols>
  <sheetData>
    <row r="1" spans="1:8" ht="22.05" customHeight="1" x14ac:dyDescent="0.3">
      <c r="A1" s="22" t="s">
        <v>238</v>
      </c>
      <c r="B1" s="21"/>
      <c r="C1" s="21"/>
      <c r="D1" s="21"/>
      <c r="E1" s="21"/>
      <c r="F1" s="21"/>
      <c r="G1" s="21"/>
      <c r="H1" s="21"/>
    </row>
    <row r="2" spans="1:8" ht="19.95" customHeight="1" x14ac:dyDescent="0.3">
      <c r="A2" s="20" t="s">
        <v>239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240</v>
      </c>
      <c r="G4" s="1" t="s">
        <v>241</v>
      </c>
    </row>
    <row r="5" spans="1:8" x14ac:dyDescent="0.3">
      <c r="A5" s="2" t="s">
        <v>242</v>
      </c>
      <c r="B5" s="2" t="s">
        <v>243</v>
      </c>
      <c r="C5" s="2" t="s">
        <v>244</v>
      </c>
      <c r="D5" s="2" t="s">
        <v>245</v>
      </c>
      <c r="E5" s="3" t="s">
        <v>246</v>
      </c>
      <c r="G5" s="4" t="s">
        <v>243</v>
      </c>
      <c r="H5" s="4" t="s">
        <v>247</v>
      </c>
    </row>
    <row r="6" spans="1:8" x14ac:dyDescent="0.3">
      <c r="A6" s="5" t="s">
        <v>248</v>
      </c>
      <c r="B6" s="5" t="s">
        <v>249</v>
      </c>
      <c r="C6" s="5" t="s">
        <v>11</v>
      </c>
      <c r="D6" s="5" t="s">
        <v>250</v>
      </c>
      <c r="E6" s="14">
        <v>42000</v>
      </c>
      <c r="G6" s="8" t="s">
        <v>249</v>
      </c>
      <c r="H6" s="16"/>
    </row>
    <row r="7" spans="1:8" x14ac:dyDescent="0.3">
      <c r="A7" s="8" t="s">
        <v>251</v>
      </c>
      <c r="B7" s="8" t="s">
        <v>252</v>
      </c>
      <c r="C7" s="8" t="s">
        <v>14</v>
      </c>
      <c r="D7" s="8" t="s">
        <v>250</v>
      </c>
      <c r="E7" s="15">
        <v>28000</v>
      </c>
      <c r="G7" s="8" t="s">
        <v>252</v>
      </c>
      <c r="H7" s="16"/>
    </row>
    <row r="8" spans="1:8" x14ac:dyDescent="0.3">
      <c r="A8" s="5" t="s">
        <v>253</v>
      </c>
      <c r="B8" s="5" t="s">
        <v>249</v>
      </c>
      <c r="C8" s="5" t="s">
        <v>11</v>
      </c>
      <c r="D8" s="5" t="s">
        <v>254</v>
      </c>
      <c r="E8" s="14">
        <v>65000</v>
      </c>
      <c r="G8" s="8" t="s">
        <v>255</v>
      </c>
      <c r="H8" s="16"/>
    </row>
    <row r="9" spans="1:8" x14ac:dyDescent="0.3">
      <c r="A9" s="8" t="s">
        <v>256</v>
      </c>
      <c r="B9" s="8" t="s">
        <v>255</v>
      </c>
      <c r="C9" s="8" t="s">
        <v>11</v>
      </c>
      <c r="D9" s="8" t="s">
        <v>250</v>
      </c>
      <c r="E9" s="15">
        <v>19000</v>
      </c>
      <c r="G9" s="12" t="s">
        <v>257</v>
      </c>
      <c r="H9" s="17">
        <f>SUM(H6:H8)</f>
        <v>0</v>
      </c>
    </row>
    <row r="10" spans="1:8" x14ac:dyDescent="0.3">
      <c r="A10" s="5" t="s">
        <v>258</v>
      </c>
      <c r="B10" s="5" t="s">
        <v>252</v>
      </c>
      <c r="C10" s="5" t="s">
        <v>11</v>
      </c>
      <c r="D10" s="5" t="s">
        <v>250</v>
      </c>
      <c r="E10" s="14">
        <v>31000</v>
      </c>
    </row>
    <row r="11" spans="1:8" x14ac:dyDescent="0.3">
      <c r="A11" s="8" t="s">
        <v>259</v>
      </c>
      <c r="B11" s="8" t="s">
        <v>249</v>
      </c>
      <c r="C11" s="8" t="s">
        <v>17</v>
      </c>
      <c r="D11" s="8" t="s">
        <v>250</v>
      </c>
      <c r="E11" s="15">
        <v>54000</v>
      </c>
    </row>
    <row r="12" spans="1:8" x14ac:dyDescent="0.3">
      <c r="A12" s="5" t="s">
        <v>260</v>
      </c>
      <c r="B12" s="5" t="s">
        <v>255</v>
      </c>
      <c r="C12" s="5" t="s">
        <v>11</v>
      </c>
      <c r="D12" s="5" t="s">
        <v>254</v>
      </c>
      <c r="E12" s="14">
        <v>22000</v>
      </c>
    </row>
    <row r="13" spans="1:8" x14ac:dyDescent="0.3">
      <c r="A13" s="8" t="s">
        <v>261</v>
      </c>
      <c r="B13" s="8" t="s">
        <v>252</v>
      </c>
      <c r="C13" s="8" t="s">
        <v>11</v>
      </c>
      <c r="D13" s="8" t="s">
        <v>250</v>
      </c>
      <c r="E13" s="15">
        <v>15000</v>
      </c>
    </row>
    <row r="14" spans="1:8" x14ac:dyDescent="0.3">
      <c r="A14" s="5" t="s">
        <v>262</v>
      </c>
      <c r="B14" s="5" t="s">
        <v>249</v>
      </c>
      <c r="C14" s="5" t="s">
        <v>11</v>
      </c>
      <c r="D14" s="5" t="s">
        <v>250</v>
      </c>
      <c r="E14" s="14">
        <v>48000</v>
      </c>
    </row>
    <row r="15" spans="1:8" x14ac:dyDescent="0.3">
      <c r="A15" s="8" t="s">
        <v>263</v>
      </c>
      <c r="B15" s="8" t="s">
        <v>255</v>
      </c>
      <c r="C15" s="8" t="s">
        <v>14</v>
      </c>
      <c r="D15" s="8" t="s">
        <v>250</v>
      </c>
      <c r="E15" s="15">
        <v>33000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Ex 1 - SOMASE Vendas</vt:lpstr>
      <vt:lpstr>Ex 2 - SOMASE Estoque</vt:lpstr>
      <vt:lpstr>Ex 3 - SOMASES E-Commerce</vt:lpstr>
      <vt:lpstr>Ex 4 - SOMASES RH Salários</vt:lpstr>
      <vt:lpstr>Ex 5 - CONT.SE Suporte TI</vt:lpstr>
      <vt:lpstr>Ex 6 - CONT.SE Qualidade</vt:lpstr>
      <vt:lpstr>Ex 7 - CONT.SES Marketing</vt:lpstr>
      <vt:lpstr>Ex 8 - CONT.SES Frota Logística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2026-10-15T17:18:20Z</dcterms:created>
  <dcterms:modified xsi:type="dcterms:W3CDTF">2026-10-15T17:26:15Z</dcterms:modified>
</cp:coreProperties>
</file>