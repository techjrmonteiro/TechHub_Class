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6B1C150D-790E-432A-8E2B-8F6DE8AF0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Gráfico de Linhas" sheetId="1" r:id="rId1"/>
    <sheet name="2. Gráfico de Barras" sheetId="2" r:id="rId2"/>
    <sheet name="3. Gráfico de Colunas" sheetId="3" r:id="rId3"/>
    <sheet name="4. Gráfico de Pizza" sheetId="4" r:id="rId4"/>
    <sheet name="5. Gráfico de Rosca" sheetId="5" r:id="rId5"/>
    <sheet name="6. Histograma" sheetId="6" r:id="rId6"/>
  </sheets>
  <definedNames>
    <definedName name="_xlchart.v1.0" hidden="1">'6. Histograma'!$C$6:$C$11</definedName>
    <definedName name="_xlchart.v1.1" hidden="1">'6. Histograma'!$D$5</definedName>
    <definedName name="_xlchart.v1.2" hidden="1">'6. Histograma'!$D$6:$D$11</definedName>
    <definedName name="_xlchart.v1.3" hidden="1">'6. Histograma'!$E$5</definedName>
    <definedName name="_xlchart.v1.4" hidden="1">'6. Histograma'!$E$6:$E$11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E10" i="6"/>
  <c r="E9" i="6"/>
  <c r="E8" i="6"/>
  <c r="E7" i="6"/>
  <c r="E6" i="6"/>
  <c r="E12" i="6" s="1"/>
  <c r="B9" i="5"/>
  <c r="C8" i="5" s="1"/>
  <c r="B11" i="4"/>
  <c r="C6" i="4" s="1"/>
  <c r="C10" i="4"/>
  <c r="C9" i="4"/>
  <c r="C8" i="4"/>
  <c r="C7" i="4"/>
  <c r="C9" i="3"/>
  <c r="D9" i="3" s="1"/>
  <c r="B9" i="3"/>
  <c r="D8" i="3"/>
  <c r="D7" i="3"/>
  <c r="D6" i="3"/>
  <c r="D5" i="3"/>
  <c r="C17" i="1"/>
  <c r="B17" i="1"/>
  <c r="D16" i="1"/>
  <c r="D15" i="1"/>
  <c r="D14" i="1"/>
  <c r="D13" i="1"/>
  <c r="D12" i="1"/>
  <c r="D11" i="1"/>
  <c r="D10" i="1"/>
  <c r="D9" i="1"/>
  <c r="D8" i="1"/>
  <c r="D7" i="1"/>
  <c r="D6" i="1"/>
  <c r="D5" i="1"/>
  <c r="D17" i="1" s="1"/>
  <c r="C6" i="5" l="1"/>
  <c r="C7" i="5"/>
  <c r="C5" i="5"/>
  <c r="C9" i="5" s="1"/>
  <c r="C5" i="4"/>
  <c r="C11" i="4" s="1"/>
</calcChain>
</file>

<file path=xl/sharedStrings.xml><?xml version="1.0" encoding="utf-8"?>
<sst xmlns="http://schemas.openxmlformats.org/spreadsheetml/2006/main" count="77" uniqueCount="76">
  <si>
    <t>Massa de Dados para Gráfico de Linhas (Série Temporal)</t>
  </si>
  <si>
    <t>Uso ideal: Acompanhar a evolução, tendência e sazonalidade de uma variável ao longo do tempo (meses).</t>
  </si>
  <si>
    <t>Mês</t>
  </si>
  <si>
    <t>Faturamento (R$)</t>
  </si>
  <si>
    <t>Custo Operacional (R$)</t>
  </si>
  <si>
    <t>Lucro Líquido (R$)</t>
  </si>
  <si>
    <t>Total Acumulado</t>
  </si>
  <si>
    <t>Massa de Dados para Gráfico de Barras Horizontais (Série Especificativa)</t>
  </si>
  <si>
    <t>Uso ideal: Comparar categorias com nomes/rótulos extensos ou criar rankings ordenados.</t>
  </si>
  <si>
    <t>Unidade / Filial de Atendimento</t>
  </si>
  <si>
    <t>Satisfação do Cliente (NPS)</t>
  </si>
  <si>
    <t>Faturamento Anual (R$)</t>
  </si>
  <si>
    <t>Unidade Metropolitana Centro-Sul</t>
  </si>
  <si>
    <t>Complexo Industrial Região Norte</t>
  </si>
  <si>
    <t>Superintendência Regional Leste</t>
  </si>
  <si>
    <t>Polo Logístico e Comercial Oeste</t>
  </si>
  <si>
    <t>Central de Operações Vale do Paraíba</t>
  </si>
  <si>
    <t>Posto Avançado Baixada Santista</t>
  </si>
  <si>
    <t>Massa de Dados para Gráfico de Colunas Verticais (Série Temporal / Comparativa)</t>
  </si>
  <si>
    <t>Uso ideal: Comparar poucos períodos ou poucas categorias discretas lado a lado.</t>
  </si>
  <si>
    <t>Trimestre</t>
  </si>
  <si>
    <t>Vendas 2024 (R$)</t>
  </si>
  <si>
    <t>Vendas 2025 (R$)</t>
  </si>
  <si>
    <t>Crescimento (%)</t>
  </si>
  <si>
    <t>1º Trimestre</t>
  </si>
  <si>
    <t>2º Trimestre</t>
  </si>
  <si>
    <t>3º Trimestre</t>
  </si>
  <si>
    <t>4º Trimestre</t>
  </si>
  <si>
    <t>Total Anual</t>
  </si>
  <si>
    <t>Massa de Dados para Gráfico de Pizza (Série Especificativa)</t>
  </si>
  <si>
    <t>Uso ideal: Mostrar a composição percentual do todo (100%) para até 5 a 7 categorias.</t>
  </si>
  <si>
    <t>Categoria de Despesa</t>
  </si>
  <si>
    <t>Valor Mensal (R$)</t>
  </si>
  <si>
    <t>Participação (%)</t>
  </si>
  <si>
    <t>Folha de Pagamento</t>
  </si>
  <si>
    <t>Aluguel e Instalações</t>
  </si>
  <si>
    <t>Marketing e Anúncios</t>
  </si>
  <si>
    <t>Tecnologia e Software</t>
  </si>
  <si>
    <t>Logística e Entregas</t>
  </si>
  <si>
    <t>Impostos e Taxas</t>
  </si>
  <si>
    <t>Total de Despesas</t>
  </si>
  <si>
    <t>Massa de Dados para Gráfico de Rosca (Série Especificativa)</t>
  </si>
  <si>
    <t>Uso ideal: Exibir proporções de um todo permitindo destacar o valor total centralizado.</t>
  </si>
  <si>
    <t>Canal de Vendas</t>
  </si>
  <si>
    <t>Proporção (%)</t>
  </si>
  <si>
    <t>E-Commerce (Site Oficial)</t>
  </si>
  <si>
    <t>Lojas Físicas Próprias</t>
  </si>
  <si>
    <t>Marketplace Parceiros</t>
  </si>
  <si>
    <t>Vendas B2B / Faturamento Direto</t>
  </si>
  <si>
    <t>Faturamento Total</t>
  </si>
  <si>
    <t>Massa de Dados para Gráfico de Histograma (Dados Agrupados / Valores Contínuos)</t>
  </si>
  <si>
    <t>Uso ideal: Analisar a frequência e distribuição de uma amostra numérica contínua (ex: tempo em min).</t>
  </si>
  <si>
    <t>Amostra Bruta: Tempo de Atendimento (min)</t>
  </si>
  <si>
    <t>Tabela de Distribuição de Frequências (Classes)</t>
  </si>
  <si>
    <t>Faixa de Tempo (Intervalo)</t>
  </si>
  <si>
    <t>Limite Superior</t>
  </si>
  <si>
    <t>Frequência (Nº Atendimentos)</t>
  </si>
  <si>
    <t>0,0 a 5,0 min</t>
  </si>
  <si>
    <t>5,0 a 10,0 min</t>
  </si>
  <si>
    <t>10,0 a 15,0 min</t>
  </si>
  <si>
    <t>15,0 a 20,0 min</t>
  </si>
  <si>
    <t>20,0 a 25,0 min</t>
  </si>
  <si>
    <t>25,0 a 30,0 min</t>
  </si>
  <si>
    <t>Total de Observações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</si>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</sst>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3" xfId="0" applyFont="1" applyBorder="1"/>
    <xf numFmtId="164" fontId="5" fillId="0" borderId="3" xfId="0" applyNumberFormat="1" applyFont="1" applyBorder="1"/>
    <xf numFmtId="1" fontId="4" fillId="4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5" fontId="5" fillId="0" borderId="3" xfId="0" applyNumberFormat="1" applyFont="1" applyBorder="1"/>
    <xf numFmtId="0" fontId="3" fillId="2" borderId="0" xfId="0" applyFont="1" applyFill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2" sqref="C22"/>
    </sheetView>
  </sheetViews>
  <sheetFormatPr defaultRowHeight="14.4" x14ac:dyDescent="0.3"/>
  <cols>
    <col min="1" max="1" width="15.44140625" bestFit="1" customWidth="1"/>
    <col min="2" max="2" width="21" customWidth="1"/>
    <col min="3" max="3" width="27" customWidth="1"/>
    <col min="4" max="4" width="23" customWidth="1"/>
  </cols>
  <sheetData>
    <row r="1" spans="1:4" ht="18" x14ac:dyDescent="0.35">
      <c r="A1" s="24" t="s">
        <v>0</v>
      </c>
      <c r="B1" s="24"/>
      <c r="C1" s="24"/>
      <c r="D1" s="24"/>
    </row>
    <row r="2" spans="1:4" x14ac:dyDescent="0.3">
      <c r="A2" s="25" t="s">
        <v>1</v>
      </c>
      <c r="B2" s="25"/>
      <c r="C2" s="25"/>
      <c r="D2" s="25"/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64</v>
      </c>
      <c r="B5" s="5">
        <v>45000</v>
      </c>
      <c r="C5" s="5">
        <v>28000</v>
      </c>
      <c r="D5" s="6">
        <f t="shared" ref="D5:D16" si="0">B5-C5</f>
        <v>17000</v>
      </c>
    </row>
    <row r="6" spans="1:4" x14ac:dyDescent="0.3">
      <c r="A6" s="4" t="s">
        <v>65</v>
      </c>
      <c r="B6" s="8">
        <v>48000</v>
      </c>
      <c r="C6" s="8">
        <v>29500</v>
      </c>
      <c r="D6" s="6">
        <f t="shared" si="0"/>
        <v>18500</v>
      </c>
    </row>
    <row r="7" spans="1:4" x14ac:dyDescent="0.3">
      <c r="A7" s="4" t="s">
        <v>66</v>
      </c>
      <c r="B7" s="5">
        <v>52000</v>
      </c>
      <c r="C7" s="5">
        <v>31000</v>
      </c>
      <c r="D7" s="6">
        <f t="shared" si="0"/>
        <v>21000</v>
      </c>
    </row>
    <row r="8" spans="1:4" x14ac:dyDescent="0.3">
      <c r="A8" s="4" t="s">
        <v>67</v>
      </c>
      <c r="B8" s="8">
        <v>50000</v>
      </c>
      <c r="C8" s="8">
        <v>30000</v>
      </c>
      <c r="D8" s="6">
        <f t="shared" si="0"/>
        <v>20000</v>
      </c>
    </row>
    <row r="9" spans="1:4" x14ac:dyDescent="0.3">
      <c r="A9" s="4" t="s">
        <v>68</v>
      </c>
      <c r="B9" s="5">
        <v>55000</v>
      </c>
      <c r="C9" s="5">
        <v>32500</v>
      </c>
      <c r="D9" s="6">
        <f t="shared" si="0"/>
        <v>22500</v>
      </c>
    </row>
    <row r="10" spans="1:4" x14ac:dyDescent="0.3">
      <c r="A10" s="4" t="s">
        <v>69</v>
      </c>
      <c r="B10" s="8">
        <v>61000</v>
      </c>
      <c r="C10" s="8">
        <v>34000</v>
      </c>
      <c r="D10" s="6">
        <f t="shared" si="0"/>
        <v>27000</v>
      </c>
    </row>
    <row r="11" spans="1:4" x14ac:dyDescent="0.3">
      <c r="A11" s="4" t="s">
        <v>70</v>
      </c>
      <c r="B11" s="5">
        <v>63000</v>
      </c>
      <c r="C11" s="5">
        <v>35000</v>
      </c>
      <c r="D11" s="6">
        <f t="shared" si="0"/>
        <v>28000</v>
      </c>
    </row>
    <row r="12" spans="1:4" x14ac:dyDescent="0.3">
      <c r="A12" s="4" t="s">
        <v>71</v>
      </c>
      <c r="B12" s="8">
        <v>62000</v>
      </c>
      <c r="C12" s="8">
        <v>34500</v>
      </c>
      <c r="D12" s="6">
        <f t="shared" si="0"/>
        <v>27500</v>
      </c>
    </row>
    <row r="13" spans="1:4" x14ac:dyDescent="0.3">
      <c r="A13" s="4" t="s">
        <v>72</v>
      </c>
      <c r="B13" s="5">
        <v>67000</v>
      </c>
      <c r="C13" s="5">
        <v>36000</v>
      </c>
      <c r="D13" s="6">
        <f t="shared" si="0"/>
        <v>31000</v>
      </c>
    </row>
    <row r="14" spans="1:4" x14ac:dyDescent="0.3">
      <c r="A14" s="4" t="s">
        <v>73</v>
      </c>
      <c r="B14" s="8">
        <v>71000</v>
      </c>
      <c r="C14" s="8">
        <v>38000</v>
      </c>
      <c r="D14" s="6">
        <f t="shared" si="0"/>
        <v>33000</v>
      </c>
    </row>
    <row r="15" spans="1:4" x14ac:dyDescent="0.3">
      <c r="A15" s="4" t="s">
        <v>74</v>
      </c>
      <c r="B15" s="5">
        <v>78000</v>
      </c>
      <c r="C15" s="5">
        <v>41000</v>
      </c>
      <c r="D15" s="6">
        <f t="shared" si="0"/>
        <v>37000</v>
      </c>
    </row>
    <row r="16" spans="1:4" x14ac:dyDescent="0.3">
      <c r="A16" s="4" t="s">
        <v>75</v>
      </c>
      <c r="B16" s="8">
        <v>92000</v>
      </c>
      <c r="C16" s="8">
        <v>48000</v>
      </c>
      <c r="D16" s="6">
        <f t="shared" si="0"/>
        <v>44000</v>
      </c>
    </row>
    <row r="17" spans="1:4" x14ac:dyDescent="0.3">
      <c r="A17" s="9" t="s">
        <v>6</v>
      </c>
      <c r="B17" s="10">
        <f>SUM(B5:B16)</f>
        <v>744000</v>
      </c>
      <c r="C17" s="10">
        <f>SUM(C5:C16)</f>
        <v>417500</v>
      </c>
      <c r="D17" s="10">
        <f>SUM(D5:D16)</f>
        <v>326500</v>
      </c>
    </row>
  </sheetData>
  <mergeCells count="2">
    <mergeCell ref="A1:D1"/>
    <mergeCell ref="A2:D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J24" sqref="J24"/>
    </sheetView>
  </sheetViews>
  <sheetFormatPr defaultRowHeight="14.4" x14ac:dyDescent="0.3"/>
  <cols>
    <col min="1" max="1" width="32.21875" bestFit="1" customWidth="1"/>
    <col min="2" max="2" width="32" customWidth="1"/>
    <col min="3" max="3" width="27" customWidth="1"/>
  </cols>
  <sheetData>
    <row r="1" spans="1:3" ht="18" x14ac:dyDescent="0.35">
      <c r="A1" s="24" t="s">
        <v>7</v>
      </c>
      <c r="B1" s="24"/>
      <c r="C1" s="24"/>
    </row>
    <row r="2" spans="1:3" x14ac:dyDescent="0.3">
      <c r="A2" s="25" t="s">
        <v>8</v>
      </c>
      <c r="B2" s="25"/>
      <c r="C2" s="25"/>
    </row>
    <row r="4" spans="1:3" x14ac:dyDescent="0.3">
      <c r="A4" s="3" t="s">
        <v>9</v>
      </c>
      <c r="B4" s="3" t="s">
        <v>10</v>
      </c>
      <c r="C4" s="3" t="s">
        <v>11</v>
      </c>
    </row>
    <row r="5" spans="1:3" x14ac:dyDescent="0.3">
      <c r="A5" s="4" t="s">
        <v>12</v>
      </c>
      <c r="B5" s="11">
        <v>88</v>
      </c>
      <c r="C5" s="5">
        <v>1250000</v>
      </c>
    </row>
    <row r="6" spans="1:3" x14ac:dyDescent="0.3">
      <c r="A6" s="7" t="s">
        <v>13</v>
      </c>
      <c r="B6" s="12">
        <v>85</v>
      </c>
      <c r="C6" s="8">
        <v>980000</v>
      </c>
    </row>
    <row r="7" spans="1:3" x14ac:dyDescent="0.3">
      <c r="A7" s="4" t="s">
        <v>14</v>
      </c>
      <c r="B7" s="11">
        <v>82</v>
      </c>
      <c r="C7" s="5">
        <v>890000</v>
      </c>
    </row>
    <row r="8" spans="1:3" x14ac:dyDescent="0.3">
      <c r="A8" s="7" t="s">
        <v>15</v>
      </c>
      <c r="B8" s="12">
        <v>79</v>
      </c>
      <c r="C8" s="8">
        <v>760000</v>
      </c>
    </row>
    <row r="9" spans="1:3" x14ac:dyDescent="0.3">
      <c r="A9" s="4" t="s">
        <v>16</v>
      </c>
      <c r="B9" s="11">
        <v>76</v>
      </c>
      <c r="C9" s="5">
        <v>620000</v>
      </c>
    </row>
    <row r="10" spans="1:3" x14ac:dyDescent="0.3">
      <c r="A10" s="7" t="s">
        <v>17</v>
      </c>
      <c r="B10" s="12">
        <v>71</v>
      </c>
      <c r="C10" s="8">
        <v>510000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J24" sqref="I24:J24"/>
    </sheetView>
  </sheetViews>
  <sheetFormatPr defaultRowHeight="14.4" x14ac:dyDescent="0.3"/>
  <cols>
    <col min="1" max="1" width="30" customWidth="1"/>
    <col min="2" max="3" width="21" customWidth="1"/>
    <col min="4" max="4" width="20" customWidth="1"/>
  </cols>
  <sheetData>
    <row r="1" spans="1:4" ht="18" x14ac:dyDescent="0.35">
      <c r="A1" s="24" t="s">
        <v>18</v>
      </c>
      <c r="B1" s="24"/>
      <c r="C1" s="24"/>
      <c r="D1" s="24"/>
    </row>
    <row r="2" spans="1:4" x14ac:dyDescent="0.3">
      <c r="A2" s="25" t="s">
        <v>19</v>
      </c>
      <c r="B2" s="25"/>
      <c r="C2" s="25"/>
      <c r="D2" s="25"/>
    </row>
    <row r="4" spans="1:4" x14ac:dyDescent="0.3">
      <c r="A4" s="3" t="s">
        <v>20</v>
      </c>
      <c r="B4" s="3" t="s">
        <v>21</v>
      </c>
      <c r="C4" s="3" t="s">
        <v>22</v>
      </c>
      <c r="D4" s="3" t="s">
        <v>23</v>
      </c>
    </row>
    <row r="5" spans="1:4" x14ac:dyDescent="0.3">
      <c r="A5" s="13" t="s">
        <v>24</v>
      </c>
      <c r="B5" s="5">
        <v>120000</v>
      </c>
      <c r="C5" s="5">
        <v>145000</v>
      </c>
      <c r="D5" s="14">
        <f>(C5-B5)/B5</f>
        <v>0.20833333333333334</v>
      </c>
    </row>
    <row r="6" spans="1:4" x14ac:dyDescent="0.3">
      <c r="A6" s="15" t="s">
        <v>25</v>
      </c>
      <c r="B6" s="8">
        <v>135000</v>
      </c>
      <c r="C6" s="8">
        <v>162000</v>
      </c>
      <c r="D6" s="14">
        <f>(C6-B6)/B6</f>
        <v>0.2</v>
      </c>
    </row>
    <row r="7" spans="1:4" x14ac:dyDescent="0.3">
      <c r="A7" s="13" t="s">
        <v>26</v>
      </c>
      <c r="B7" s="5">
        <v>140000</v>
      </c>
      <c r="C7" s="5">
        <v>175000</v>
      </c>
      <c r="D7" s="14">
        <f>(C7-B7)/B7</f>
        <v>0.25</v>
      </c>
    </row>
    <row r="8" spans="1:4" x14ac:dyDescent="0.3">
      <c r="A8" s="15" t="s">
        <v>27</v>
      </c>
      <c r="B8" s="8">
        <v>180000</v>
      </c>
      <c r="C8" s="8">
        <v>215000</v>
      </c>
      <c r="D8" s="14">
        <f>(C8-B8)/B8</f>
        <v>0.19444444444444445</v>
      </c>
    </row>
    <row r="9" spans="1:4" x14ac:dyDescent="0.3">
      <c r="A9" s="9" t="s">
        <v>28</v>
      </c>
      <c r="B9" s="10">
        <f>SUM(B5:B8)</f>
        <v>575000</v>
      </c>
      <c r="C9" s="10">
        <f>SUM(C5:C8)</f>
        <v>697000</v>
      </c>
      <c r="D9" s="16">
        <f>(C9-B9)/B9</f>
        <v>0.21217391304347827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N19" sqref="N19"/>
    </sheetView>
  </sheetViews>
  <sheetFormatPr defaultRowHeight="14.4" x14ac:dyDescent="0.3"/>
  <cols>
    <col min="1" max="1" width="30" customWidth="1"/>
    <col min="2" max="2" width="22" customWidth="1"/>
    <col min="3" max="3" width="21" customWidth="1"/>
  </cols>
  <sheetData>
    <row r="1" spans="1:3" ht="18" x14ac:dyDescent="0.35">
      <c r="A1" s="24" t="s">
        <v>29</v>
      </c>
      <c r="B1" s="24"/>
      <c r="C1" s="24"/>
    </row>
    <row r="2" spans="1:3" x14ac:dyDescent="0.3">
      <c r="A2" s="25" t="s">
        <v>30</v>
      </c>
      <c r="B2" s="25"/>
      <c r="C2" s="25"/>
    </row>
    <row r="4" spans="1:3" x14ac:dyDescent="0.3">
      <c r="A4" s="3" t="s">
        <v>31</v>
      </c>
      <c r="B4" s="3" t="s">
        <v>32</v>
      </c>
      <c r="C4" s="3" t="s">
        <v>33</v>
      </c>
    </row>
    <row r="5" spans="1:3" x14ac:dyDescent="0.3">
      <c r="A5" s="4" t="s">
        <v>34</v>
      </c>
      <c r="B5" s="5">
        <v>45000</v>
      </c>
      <c r="C5" s="14">
        <f t="shared" ref="C5:C10" si="0">B5/B$11</f>
        <v>0.45</v>
      </c>
    </row>
    <row r="6" spans="1:3" x14ac:dyDescent="0.3">
      <c r="A6" s="7" t="s">
        <v>35</v>
      </c>
      <c r="B6" s="8">
        <v>18000</v>
      </c>
      <c r="C6" s="14">
        <f t="shared" si="0"/>
        <v>0.18</v>
      </c>
    </row>
    <row r="7" spans="1:3" x14ac:dyDescent="0.3">
      <c r="A7" s="4" t="s">
        <v>36</v>
      </c>
      <c r="B7" s="5">
        <v>12000</v>
      </c>
      <c r="C7" s="14">
        <f t="shared" si="0"/>
        <v>0.12</v>
      </c>
    </row>
    <row r="8" spans="1:3" x14ac:dyDescent="0.3">
      <c r="A8" s="7" t="s">
        <v>37</v>
      </c>
      <c r="B8" s="8">
        <v>10000</v>
      </c>
      <c r="C8" s="14">
        <f t="shared" si="0"/>
        <v>0.1</v>
      </c>
    </row>
    <row r="9" spans="1:3" x14ac:dyDescent="0.3">
      <c r="A9" s="4" t="s">
        <v>38</v>
      </c>
      <c r="B9" s="5">
        <v>8000</v>
      </c>
      <c r="C9" s="14">
        <f t="shared" si="0"/>
        <v>0.08</v>
      </c>
    </row>
    <row r="10" spans="1:3" x14ac:dyDescent="0.3">
      <c r="A10" s="7" t="s">
        <v>39</v>
      </c>
      <c r="B10" s="8">
        <v>7000</v>
      </c>
      <c r="C10" s="14">
        <f t="shared" si="0"/>
        <v>7.0000000000000007E-2</v>
      </c>
    </row>
    <row r="11" spans="1:3" x14ac:dyDescent="0.3">
      <c r="A11" s="9" t="s">
        <v>40</v>
      </c>
      <c r="B11" s="10">
        <f>SUM(B5:B10)</f>
        <v>100000</v>
      </c>
      <c r="C11" s="16">
        <f>SUM(C5:C10)</f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H23" sqref="H23"/>
    </sheetView>
  </sheetViews>
  <sheetFormatPr defaultRowHeight="14.4" x14ac:dyDescent="0.3"/>
  <cols>
    <col min="1" max="1" width="35" customWidth="1"/>
    <col min="2" max="2" width="21" customWidth="1"/>
    <col min="3" max="3" width="18" customWidth="1"/>
  </cols>
  <sheetData>
    <row r="1" spans="1:3" ht="18" x14ac:dyDescent="0.35">
      <c r="A1" s="24" t="s">
        <v>41</v>
      </c>
      <c r="B1" s="24"/>
      <c r="C1" s="24"/>
    </row>
    <row r="2" spans="1:3" x14ac:dyDescent="0.3">
      <c r="A2" s="25" t="s">
        <v>42</v>
      </c>
      <c r="B2" s="25"/>
      <c r="C2" s="25"/>
    </row>
    <row r="4" spans="1:3" x14ac:dyDescent="0.3">
      <c r="A4" s="3" t="s">
        <v>43</v>
      </c>
      <c r="B4" s="3" t="s">
        <v>3</v>
      </c>
      <c r="C4" s="3" t="s">
        <v>44</v>
      </c>
    </row>
    <row r="5" spans="1:3" x14ac:dyDescent="0.3">
      <c r="A5" s="4" t="s">
        <v>45</v>
      </c>
      <c r="B5" s="5">
        <v>185000</v>
      </c>
      <c r="C5" s="14">
        <f>B5/B$9</f>
        <v>0.37</v>
      </c>
    </row>
    <row r="6" spans="1:3" x14ac:dyDescent="0.3">
      <c r="A6" s="7" t="s">
        <v>46</v>
      </c>
      <c r="B6" s="8">
        <v>142000</v>
      </c>
      <c r="C6" s="14">
        <f>B6/B$9</f>
        <v>0.28399999999999997</v>
      </c>
    </row>
    <row r="7" spans="1:3" x14ac:dyDescent="0.3">
      <c r="A7" s="4" t="s">
        <v>47</v>
      </c>
      <c r="B7" s="5">
        <v>98000</v>
      </c>
      <c r="C7" s="14">
        <f>B7/B$9</f>
        <v>0.19600000000000001</v>
      </c>
    </row>
    <row r="8" spans="1:3" x14ac:dyDescent="0.3">
      <c r="A8" s="7" t="s">
        <v>48</v>
      </c>
      <c r="B8" s="8">
        <v>75000</v>
      </c>
      <c r="C8" s="14">
        <f>B8/B$9</f>
        <v>0.15</v>
      </c>
    </row>
    <row r="9" spans="1:3" x14ac:dyDescent="0.3">
      <c r="A9" s="9" t="s">
        <v>49</v>
      </c>
      <c r="B9" s="10">
        <f>SUM(B5:B8)</f>
        <v>500000</v>
      </c>
      <c r="C9" s="16">
        <f>SUM(C5:C8)</f>
        <v>0.99999999999999989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opLeftCell="A8" zoomScale="102" workbookViewId="0">
      <selection activeCell="G8" sqref="G8"/>
    </sheetView>
  </sheetViews>
  <sheetFormatPr defaultRowHeight="14.4" x14ac:dyDescent="0.3"/>
  <cols>
    <col min="1" max="1" width="105" customWidth="1"/>
    <col min="2" max="2" width="12" customWidth="1"/>
    <col min="3" max="3" width="52" customWidth="1"/>
    <col min="4" max="4" width="20" customWidth="1"/>
    <col min="5" max="5" width="33" customWidth="1"/>
  </cols>
  <sheetData>
    <row r="1" spans="1:5" ht="18" x14ac:dyDescent="0.35">
      <c r="A1" s="1" t="s">
        <v>50</v>
      </c>
    </row>
    <row r="2" spans="1:5" x14ac:dyDescent="0.3">
      <c r="A2" s="2" t="s">
        <v>51</v>
      </c>
    </row>
    <row r="4" spans="1:5" x14ac:dyDescent="0.3">
      <c r="A4" s="17" t="s">
        <v>52</v>
      </c>
      <c r="C4" s="22" t="s">
        <v>53</v>
      </c>
      <c r="D4" s="23"/>
      <c r="E4" s="23"/>
    </row>
    <row r="5" spans="1:5" ht="15" thickBot="1" x14ac:dyDescent="0.35">
      <c r="A5" s="18">
        <v>4.2</v>
      </c>
      <c r="C5" s="3" t="s">
        <v>54</v>
      </c>
      <c r="D5" s="3" t="s">
        <v>55</v>
      </c>
      <c r="E5" s="3" t="s">
        <v>56</v>
      </c>
    </row>
    <row r="6" spans="1:5" x14ac:dyDescent="0.3">
      <c r="A6" s="19">
        <v>5.0999999999999996</v>
      </c>
      <c r="C6" s="7" t="s">
        <v>57</v>
      </c>
      <c r="D6" s="19">
        <v>5</v>
      </c>
      <c r="E6" s="20">
        <f>COUNTIF(A$5:A$34, "&lt;=5")</f>
        <v>1</v>
      </c>
    </row>
    <row r="7" spans="1:5" x14ac:dyDescent="0.3">
      <c r="A7" s="18">
        <v>6.5</v>
      </c>
      <c r="C7" s="4" t="s">
        <v>58</v>
      </c>
      <c r="D7" s="18">
        <v>10</v>
      </c>
      <c r="E7" s="20">
        <f>COUNTIFS(A$5:A$34, "&gt;5", A$5:A$34, "&lt;=10")</f>
        <v>9</v>
      </c>
    </row>
    <row r="8" spans="1:5" x14ac:dyDescent="0.3">
      <c r="A8" s="19">
        <v>7</v>
      </c>
      <c r="C8" s="7" t="s">
        <v>59</v>
      </c>
      <c r="D8" s="19">
        <v>15</v>
      </c>
      <c r="E8" s="20">
        <f>COUNTIFS(A$5:A$34, "&gt;10", A$5:A$34, "&lt;=15")</f>
        <v>11</v>
      </c>
    </row>
    <row r="9" spans="1:5" x14ac:dyDescent="0.3">
      <c r="A9" s="18">
        <v>7.8</v>
      </c>
      <c r="C9" s="4" t="s">
        <v>60</v>
      </c>
      <c r="D9" s="18">
        <v>20</v>
      </c>
      <c r="E9" s="20">
        <f>COUNTIFS(A$5:A$34, "&gt;15", A$5:A$34, "&lt;=20")</f>
        <v>6</v>
      </c>
    </row>
    <row r="10" spans="1:5" x14ac:dyDescent="0.3">
      <c r="A10" s="19">
        <v>8.1999999999999993</v>
      </c>
      <c r="C10" s="7" t="s">
        <v>61</v>
      </c>
      <c r="D10" s="19">
        <v>25</v>
      </c>
      <c r="E10" s="20">
        <f>COUNTIFS(A$5:A$34, "&gt;20", A$5:A$34, "&lt;=25")</f>
        <v>2</v>
      </c>
    </row>
    <row r="11" spans="1:5" x14ac:dyDescent="0.3">
      <c r="A11" s="18">
        <v>8.5</v>
      </c>
      <c r="C11" s="4" t="s">
        <v>62</v>
      </c>
      <c r="D11" s="18">
        <v>30</v>
      </c>
      <c r="E11" s="20">
        <f>COUNTIFS(A$5:A$34, "&gt;25", A$5:A$34, "&lt;=30")</f>
        <v>1</v>
      </c>
    </row>
    <row r="12" spans="1:5" ht="15" thickBot="1" x14ac:dyDescent="0.35">
      <c r="A12" s="19">
        <v>9.1</v>
      </c>
      <c r="C12" s="9" t="s">
        <v>63</v>
      </c>
      <c r="D12" s="9"/>
      <c r="E12" s="21">
        <f>SUM(E6:E11)</f>
        <v>30</v>
      </c>
    </row>
    <row r="13" spans="1:5" ht="15" thickTop="1" x14ac:dyDescent="0.3">
      <c r="A13" s="18">
        <v>9.4</v>
      </c>
    </row>
    <row r="14" spans="1:5" x14ac:dyDescent="0.3">
      <c r="A14" s="19">
        <v>10</v>
      </c>
    </row>
    <row r="15" spans="1:5" x14ac:dyDescent="0.3">
      <c r="A15" s="18">
        <v>10.199999999999999</v>
      </c>
    </row>
    <row r="16" spans="1:5" x14ac:dyDescent="0.3">
      <c r="A16" s="19">
        <v>10.8</v>
      </c>
    </row>
    <row r="17" spans="1:1" x14ac:dyDescent="0.3">
      <c r="A17" s="18">
        <v>11.3</v>
      </c>
    </row>
    <row r="18" spans="1:1" x14ac:dyDescent="0.3">
      <c r="A18" s="19">
        <v>11.5</v>
      </c>
    </row>
    <row r="19" spans="1:1" x14ac:dyDescent="0.3">
      <c r="A19" s="18">
        <v>12</v>
      </c>
    </row>
    <row r="20" spans="1:1" x14ac:dyDescent="0.3">
      <c r="A20" s="19">
        <v>12.4</v>
      </c>
    </row>
    <row r="21" spans="1:1" x14ac:dyDescent="0.3">
      <c r="A21" s="18">
        <v>12.8</v>
      </c>
    </row>
    <row r="22" spans="1:1" x14ac:dyDescent="0.3">
      <c r="A22" s="19">
        <v>13.1</v>
      </c>
    </row>
    <row r="23" spans="1:1" x14ac:dyDescent="0.3">
      <c r="A23" s="18">
        <v>13.5</v>
      </c>
    </row>
    <row r="24" spans="1:1" x14ac:dyDescent="0.3">
      <c r="A24" s="19">
        <v>14</v>
      </c>
    </row>
    <row r="25" spans="1:1" x14ac:dyDescent="0.3">
      <c r="A25" s="18">
        <v>14.2</v>
      </c>
    </row>
    <row r="26" spans="1:1" x14ac:dyDescent="0.3">
      <c r="A26" s="19">
        <v>15.5</v>
      </c>
    </row>
    <row r="27" spans="1:1" x14ac:dyDescent="0.3">
      <c r="A27" s="18">
        <v>16</v>
      </c>
    </row>
    <row r="28" spans="1:1" x14ac:dyDescent="0.3">
      <c r="A28" s="19">
        <v>16.8</v>
      </c>
    </row>
    <row r="29" spans="1:1" x14ac:dyDescent="0.3">
      <c r="A29" s="18">
        <v>17.5</v>
      </c>
    </row>
    <row r="30" spans="1:1" x14ac:dyDescent="0.3">
      <c r="A30" s="19">
        <v>18.2</v>
      </c>
    </row>
    <row r="31" spans="1:1" x14ac:dyDescent="0.3">
      <c r="A31" s="18">
        <v>19</v>
      </c>
    </row>
    <row r="32" spans="1:1" x14ac:dyDescent="0.3">
      <c r="A32" s="19">
        <v>21.5</v>
      </c>
    </row>
    <row r="33" spans="1:1" x14ac:dyDescent="0.3">
      <c r="A33" s="18">
        <v>23</v>
      </c>
    </row>
    <row r="34" spans="1:1" x14ac:dyDescent="0.3">
      <c r="A34" s="19">
        <v>25.4</v>
      </c>
    </row>
  </sheetData>
  <mergeCells count="1"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1. Gráfico de Linhas</vt:lpstr>
      <vt:lpstr>2. Gráfico de Barras</vt:lpstr>
      <vt:lpstr>3. Gráfico de Colunas</vt:lpstr>
      <vt:lpstr>4. Gráfico de Pizza</vt:lpstr>
      <vt:lpstr>5. Gráfico de Rosca</vt:lpstr>
      <vt:lpstr>6. Histograma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2026-10-19T10:17:48Z</dcterms:created>
  <dcterms:modified xsi:type="dcterms:W3CDTF">2026-10-19T16:50:26Z</dcterms:modified>
</cp:coreProperties>
</file>